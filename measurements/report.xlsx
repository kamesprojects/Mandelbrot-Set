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il\Documents\TUKE\TUKE_skola\ING\1.rocnik\LS\PPS\Parallel-Computer-Systems---assignment\3-volitelna\measurements\"/>
    </mc:Choice>
  </mc:AlternateContent>
  <xr:revisionPtr revIDLastSave="0" documentId="13_ncr:1_{A364557E-1341-43B6-8026-06F3318A58DB}" xr6:coauthVersionLast="47" xr6:coauthVersionMax="47" xr10:uidLastSave="{00000000-0000-0000-0000-000000000000}"/>
  <bookViews>
    <workbookView xWindow="1710" yWindow="-14490" windowWidth="21600" windowHeight="11175" xr2:uid="{7107CA0B-3E53-4ED7-B3BD-8029C5150CF5}"/>
  </bookViews>
  <sheets>
    <sheet name="3-volitel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1" l="1"/>
  <c r="K43" i="1"/>
  <c r="K42" i="1"/>
  <c r="K41" i="1"/>
  <c r="K33" i="1"/>
  <c r="K32" i="1"/>
  <c r="K31" i="1"/>
  <c r="K30" i="1"/>
  <c r="K22" i="1"/>
  <c r="K21" i="1"/>
  <c r="K20" i="1"/>
  <c r="K19" i="1"/>
  <c r="K12" i="1"/>
  <c r="K11" i="1"/>
  <c r="K10" i="1"/>
  <c r="K9" i="1"/>
  <c r="K8" i="1"/>
  <c r="M45" i="1"/>
  <c r="N45" i="1" s="1"/>
  <c r="K45" i="1"/>
  <c r="J45" i="1"/>
  <c r="G45" i="1"/>
  <c r="H45" i="1" s="1"/>
  <c r="D45" i="1"/>
  <c r="E45" i="1" s="1"/>
  <c r="M44" i="1"/>
  <c r="N44" i="1" s="1"/>
  <c r="J44" i="1"/>
  <c r="G44" i="1"/>
  <c r="H44" i="1" s="1"/>
  <c r="D44" i="1"/>
  <c r="E44" i="1" s="1"/>
  <c r="M43" i="1"/>
  <c r="N43" i="1" s="1"/>
  <c r="J43" i="1"/>
  <c r="G43" i="1"/>
  <c r="H43" i="1" s="1"/>
  <c r="D43" i="1"/>
  <c r="E43" i="1" s="1"/>
  <c r="M42" i="1"/>
  <c r="N42" i="1" s="1"/>
  <c r="J42" i="1"/>
  <c r="G42" i="1"/>
  <c r="H42" i="1" s="1"/>
  <c r="D42" i="1"/>
  <c r="E42" i="1" s="1"/>
  <c r="M41" i="1"/>
  <c r="N41" i="1" s="1"/>
  <c r="J41" i="1"/>
  <c r="G41" i="1"/>
  <c r="H41" i="1" s="1"/>
  <c r="D41" i="1"/>
  <c r="E41" i="1" s="1"/>
  <c r="M40" i="1"/>
  <c r="J40" i="1"/>
  <c r="G40" i="1"/>
  <c r="D40" i="1"/>
  <c r="E40" i="1" s="1"/>
  <c r="M34" i="1"/>
  <c r="N34" i="1" s="1"/>
  <c r="J34" i="1"/>
  <c r="K34" i="1" s="1"/>
  <c r="H34" i="1"/>
  <c r="G34" i="1"/>
  <c r="D34" i="1"/>
  <c r="E34" i="1" s="1"/>
  <c r="M33" i="1"/>
  <c r="N33" i="1" s="1"/>
  <c r="J33" i="1"/>
  <c r="G33" i="1"/>
  <c r="H33" i="1" s="1"/>
  <c r="D33" i="1"/>
  <c r="E33" i="1" s="1"/>
  <c r="M32" i="1"/>
  <c r="N32" i="1" s="1"/>
  <c r="J32" i="1"/>
  <c r="H32" i="1"/>
  <c r="G32" i="1"/>
  <c r="D32" i="1"/>
  <c r="E32" i="1" s="1"/>
  <c r="M31" i="1"/>
  <c r="N31" i="1" s="1"/>
  <c r="J31" i="1"/>
  <c r="G31" i="1"/>
  <c r="H31" i="1" s="1"/>
  <c r="D31" i="1"/>
  <c r="E31" i="1" s="1"/>
  <c r="M30" i="1"/>
  <c r="N30" i="1" s="1"/>
  <c r="J30" i="1"/>
  <c r="H30" i="1"/>
  <c r="G30" i="1"/>
  <c r="D30" i="1"/>
  <c r="E30" i="1" s="1"/>
  <c r="M29" i="1"/>
  <c r="J29" i="1"/>
  <c r="G29" i="1"/>
  <c r="D29" i="1"/>
  <c r="E29" i="1" s="1"/>
  <c r="M23" i="1"/>
  <c r="N23" i="1" s="1"/>
  <c r="J23" i="1"/>
  <c r="K23" i="1" s="1"/>
  <c r="G23" i="1"/>
  <c r="H23" i="1" s="1"/>
  <c r="D23" i="1"/>
  <c r="E23" i="1" s="1"/>
  <c r="M22" i="1"/>
  <c r="N22" i="1" s="1"/>
  <c r="J22" i="1"/>
  <c r="G22" i="1"/>
  <c r="H22" i="1" s="1"/>
  <c r="D22" i="1"/>
  <c r="E22" i="1" s="1"/>
  <c r="M21" i="1"/>
  <c r="N21" i="1" s="1"/>
  <c r="J21" i="1"/>
  <c r="G21" i="1"/>
  <c r="H21" i="1" s="1"/>
  <c r="D21" i="1"/>
  <c r="E21" i="1" s="1"/>
  <c r="N20" i="1"/>
  <c r="M20" i="1"/>
  <c r="J20" i="1"/>
  <c r="G20" i="1"/>
  <c r="H20" i="1" s="1"/>
  <c r="D20" i="1"/>
  <c r="E20" i="1" s="1"/>
  <c r="M19" i="1"/>
  <c r="N19" i="1" s="1"/>
  <c r="J19" i="1"/>
  <c r="G19" i="1"/>
  <c r="H19" i="1" s="1"/>
  <c r="D19" i="1"/>
  <c r="E19" i="1" s="1"/>
  <c r="M18" i="1"/>
  <c r="J18" i="1"/>
  <c r="G18" i="1"/>
  <c r="D18" i="1"/>
  <c r="E18" i="1" s="1"/>
  <c r="M12" i="1"/>
  <c r="N12" i="1" s="1"/>
  <c r="J12" i="1"/>
  <c r="G12" i="1"/>
  <c r="H12" i="1" s="1"/>
  <c r="D12" i="1"/>
  <c r="E12" i="1" s="1"/>
  <c r="M11" i="1"/>
  <c r="N11" i="1" s="1"/>
  <c r="J11" i="1"/>
  <c r="G11" i="1"/>
  <c r="H11" i="1" s="1"/>
  <c r="D11" i="1"/>
  <c r="E11" i="1" s="1"/>
  <c r="M10" i="1"/>
  <c r="N10" i="1" s="1"/>
  <c r="J10" i="1"/>
  <c r="G10" i="1"/>
  <c r="H10" i="1" s="1"/>
  <c r="D10" i="1"/>
  <c r="E10" i="1" s="1"/>
  <c r="M9" i="1"/>
  <c r="N9" i="1" s="1"/>
  <c r="J9" i="1"/>
  <c r="G9" i="1"/>
  <c r="H9" i="1" s="1"/>
  <c r="D9" i="1"/>
  <c r="E9" i="1" s="1"/>
  <c r="M8" i="1"/>
  <c r="N8" i="1" s="1"/>
  <c r="J8" i="1"/>
  <c r="G8" i="1"/>
  <c r="H8" i="1" s="1"/>
  <c r="D8" i="1"/>
  <c r="E8" i="1" s="1"/>
  <c r="M7" i="1"/>
  <c r="J7" i="1"/>
  <c r="G7" i="1"/>
  <c r="E7" i="1"/>
  <c r="D7" i="1"/>
</calcChain>
</file>

<file path=xl/sharedStrings.xml><?xml version="1.0" encoding="utf-8"?>
<sst xmlns="http://schemas.openxmlformats.org/spreadsheetml/2006/main" count="93" uniqueCount="24">
  <si>
    <t>Table 1: Execution Time, Speedup and Efficiency (800×600)</t>
  </si>
  <si>
    <t>Execution type</t>
  </si>
  <si>
    <t>Max Iterations</t>
  </si>
  <si>
    <t>Time [s]</t>
  </si>
  <si>
    <t>Speedup</t>
  </si>
  <si>
    <t>Efficiency</t>
  </si>
  <si>
    <t>Serial algorithm</t>
  </si>
  <si>
    <t>2 threads</t>
  </si>
  <si>
    <t>4 threads</t>
  </si>
  <si>
    <t>8 threads</t>
  </si>
  <si>
    <t>12 threads</t>
  </si>
  <si>
    <t>16 threads</t>
  </si>
  <si>
    <t>Table 2: Execution Time, Speedup and Efficiency (1920×1080)</t>
  </si>
  <si>
    <t>Table 3: Execution Time, Speedup and Efficiency (2560×1440)</t>
  </si>
  <si>
    <t>Table 4: Execution Time, Speedup and Efficiency (3840×2160)</t>
  </si>
  <si>
    <t xml:space="preserve">Computer configuration: </t>
  </si>
  <si>
    <t>CPU</t>
  </si>
  <si>
    <t>AMD Ryzen 7 8840HS (8 cores, 16 threads, 3,30-5,10GHz)</t>
  </si>
  <si>
    <t>GPU:</t>
  </si>
  <si>
    <t>AMD Radeon 780M</t>
  </si>
  <si>
    <t>RAM:</t>
  </si>
  <si>
    <t>16GB DDR5</t>
  </si>
  <si>
    <t>OS:</t>
  </si>
  <si>
    <t>Windows 11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</si>
</sst>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  <charset val="238"/>
    </font>
    <font>
      <b/>
      <i/>
      <sz val="11"/>
      <color theme="1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1"/>
      <color theme="1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6" borderId="7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10" fontId="5" fillId="6" borderId="10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10" fontId="5" fillId="0" borderId="13" xfId="0" applyNumberFormat="1" applyFont="1" applyBorder="1" applyAlignment="1">
      <alignment horizontal="center" vertical="center"/>
    </xf>
    <xf numFmtId="0" fontId="3" fillId="6" borderId="5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center" vertical="center"/>
    </xf>
    <xf numFmtId="2" fontId="5" fillId="6" borderId="12" xfId="0" applyNumberFormat="1" applyFont="1" applyFill="1" applyBorder="1" applyAlignment="1">
      <alignment horizontal="center" vertical="center"/>
    </xf>
    <xf numFmtId="10" fontId="5" fillId="6" borderId="13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10" fontId="5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6" borderId="21" xfId="0" applyFont="1" applyFill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6" borderId="22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left" vertical="center"/>
    </xf>
    <xf numFmtId="10" fontId="5" fillId="6" borderId="25" xfId="0" applyNumberFormat="1" applyFont="1" applyFill="1" applyBorder="1" applyAlignment="1">
      <alignment horizontal="center" vertical="center"/>
    </xf>
    <xf numFmtId="10" fontId="5" fillId="6" borderId="26" xfId="0" applyNumberFormat="1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10" fontId="5" fillId="6" borderId="27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left" vertical="center"/>
    </xf>
    <xf numFmtId="0" fontId="5" fillId="6" borderId="10" xfId="0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left" vertical="center"/>
    </xf>
    <xf numFmtId="0" fontId="5" fillId="6" borderId="13" xfId="0" applyFont="1" applyFill="1" applyBorder="1" applyAlignment="1">
      <alignment horizontal="left" vertical="center"/>
    </xf>
    <xf numFmtId="0" fontId="5" fillId="6" borderId="20" xfId="0" applyFont="1" applyFill="1" applyBorder="1" applyAlignment="1">
      <alignment horizontal="left" vertical="center"/>
    </xf>
    <xf numFmtId="0" fontId="5" fillId="6" borderId="15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C# </a:t>
            </a:r>
            <a:br>
              <a:rPr lang="sk-SK"/>
            </a:br>
            <a:r>
              <a:rPr lang="en-US"/>
              <a:t>[</a:t>
            </a:r>
            <a:r>
              <a:rPr lang="sk-SK"/>
              <a:t>800 × 600</a:t>
            </a:r>
            <a:r>
              <a:rPr lang="en-US"/>
              <a:t>]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500 iterations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'3-volitelna'!$C$7:$C$12</c:f>
              <c:numCache>
                <c:formatCode>General</c:formatCode>
                <c:ptCount val="6"/>
                <c:pt idx="0">
                  <c:v>0.121</c:v>
                </c:pt>
                <c:pt idx="1">
                  <c:v>6.6000000000000003E-2</c:v>
                </c:pt>
                <c:pt idx="2">
                  <c:v>3.3000000000000002E-2</c:v>
                </c:pt>
                <c:pt idx="3">
                  <c:v>2.1000000000000001E-2</c:v>
                </c:pt>
                <c:pt idx="4">
                  <c:v>1.6E-2</c:v>
                </c:pt>
                <c:pt idx="5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1E-4D58-BA0A-21E9B43FCB25}"/>
            </c:ext>
          </c:extLst>
        </c:ser>
        <c:ser>
          <c:idx val="2"/>
          <c:order val="1"/>
          <c:tx>
            <c:v>1000 iterations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'3-volitelna'!$F$7:$F$12</c:f>
              <c:numCache>
                <c:formatCode>General</c:formatCode>
                <c:ptCount val="6"/>
                <c:pt idx="0">
                  <c:v>0.24299999999999999</c:v>
                </c:pt>
                <c:pt idx="1">
                  <c:v>0.122</c:v>
                </c:pt>
                <c:pt idx="2">
                  <c:v>6.9000000000000006E-2</c:v>
                </c:pt>
                <c:pt idx="3">
                  <c:v>0.04</c:v>
                </c:pt>
                <c:pt idx="4">
                  <c:v>3.1E-2</c:v>
                </c:pt>
                <c:pt idx="5">
                  <c:v>2.7E-2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1E-4D58-BA0A-21E9B43FCB25}"/>
            </c:ext>
          </c:extLst>
        </c:ser>
        <c:ser>
          <c:idx val="3"/>
          <c:order val="2"/>
          <c:tx>
            <c:v>2000 iterations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'3-volitelna'!$I$7:$I$12</c:f>
              <c:numCache>
                <c:formatCode>General</c:formatCode>
                <c:ptCount val="6"/>
                <c:pt idx="0">
                  <c:v>0.47299999999999998</c:v>
                </c:pt>
                <c:pt idx="1">
                  <c:v>0.24099999999999999</c:v>
                </c:pt>
                <c:pt idx="2">
                  <c:v>0.14099999999999999</c:v>
                </c:pt>
                <c:pt idx="3">
                  <c:v>7.5999999999999998E-2</c:v>
                </c:pt>
                <c:pt idx="4">
                  <c:v>6.0999999999999999E-2</c:v>
                </c:pt>
                <c:pt idx="5">
                  <c:v>5.7000000000000002E-2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1E-4D58-BA0A-21E9B43FCB25}"/>
            </c:ext>
          </c:extLst>
        </c:ser>
        <c:ser>
          <c:idx val="4"/>
          <c:order val="3"/>
          <c:tx>
            <c:v>5000 iterations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'3-volitelna'!$L$7:$L$12</c:f>
              <c:numCache>
                <c:formatCode>General</c:formatCode>
                <c:ptCount val="6"/>
                <c:pt idx="0">
                  <c:v>1.157</c:v>
                </c:pt>
                <c:pt idx="1">
                  <c:v>0.59599999999999997</c:v>
                </c:pt>
                <c:pt idx="2">
                  <c:v>0.32200000000000001</c:v>
                </c:pt>
                <c:pt idx="3">
                  <c:v>0.19600000000000001</c:v>
                </c:pt>
                <c:pt idx="4">
                  <c:v>0.151</c:v>
                </c:pt>
                <c:pt idx="5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A1E-4D58-BA0A-21E9B43FC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671456496"/>
        <c:axId val="1671458672"/>
      </c:barChart>
      <c:valAx>
        <c:axId val="16714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</a:t>
                </a:r>
                <a:r>
                  <a:rPr lang="sk-SK"/>
                  <a:t> </a:t>
                </a:r>
                <a:r>
                  <a:rPr lang="en-US"/>
                  <a:t>time</a:t>
                </a:r>
                <a:r>
                  <a:rPr lang="sk-SK"/>
                  <a:t>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6496"/>
        <c:crosses val="autoZero"/>
        <c:crossBetween val="between"/>
      </c:valAx>
      <c:catAx>
        <c:axId val="167145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threads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8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C# </a:t>
            </a:r>
            <a:br>
              <a:rPr lang="sk-SK"/>
            </a:br>
            <a:r>
              <a:rPr lang="en-US"/>
              <a:t>[</a:t>
            </a:r>
            <a:r>
              <a:rPr lang="sk-SK"/>
              <a:t>1920 × 1080</a:t>
            </a:r>
            <a:r>
              <a:rPr lang="en-US"/>
              <a:t>]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500 iterations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'3-volitelna'!$C$18:$C$23</c:f>
              <c:numCache>
                <c:formatCode>General</c:formatCode>
                <c:ptCount val="6"/>
                <c:pt idx="0">
                  <c:v>0.67500000000000004</c:v>
                </c:pt>
                <c:pt idx="1">
                  <c:v>0.34100000000000003</c:v>
                </c:pt>
                <c:pt idx="2">
                  <c:v>0.189</c:v>
                </c:pt>
                <c:pt idx="3">
                  <c:v>0.11600000000000001</c:v>
                </c:pt>
                <c:pt idx="4">
                  <c:v>8.1000000000000003E-2</c:v>
                </c:pt>
                <c:pt idx="5">
                  <c:v>6.5000000000000002E-2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D-4264-AF48-753ACF243FA3}"/>
            </c:ext>
          </c:extLst>
        </c:ser>
        <c:ser>
          <c:idx val="2"/>
          <c:order val="1"/>
          <c:tx>
            <c:v>1000 iterations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'3-volitelna'!$F$18:$F$23</c:f>
              <c:numCache>
                <c:formatCode>General</c:formatCode>
                <c:ptCount val="6"/>
                <c:pt idx="0">
                  <c:v>1.3620000000000001</c:v>
                </c:pt>
                <c:pt idx="1">
                  <c:v>0.71399999999999997</c:v>
                </c:pt>
                <c:pt idx="2">
                  <c:v>0.38600000000000001</c:v>
                </c:pt>
                <c:pt idx="3">
                  <c:v>0.222</c:v>
                </c:pt>
                <c:pt idx="4">
                  <c:v>0.156</c:v>
                </c:pt>
                <c:pt idx="5">
                  <c:v>0.13500000000000001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D-4264-AF48-753ACF243FA3}"/>
            </c:ext>
          </c:extLst>
        </c:ser>
        <c:ser>
          <c:idx val="3"/>
          <c:order val="2"/>
          <c:tx>
            <c:v>2000 iterations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'3-volitelna'!$I$18:$I$23</c:f>
              <c:numCache>
                <c:formatCode>General</c:formatCode>
                <c:ptCount val="6"/>
                <c:pt idx="0">
                  <c:v>2.6680000000000001</c:v>
                </c:pt>
                <c:pt idx="1">
                  <c:v>1.3580000000000001</c:v>
                </c:pt>
                <c:pt idx="2">
                  <c:v>0.73899999999999999</c:v>
                </c:pt>
                <c:pt idx="3">
                  <c:v>0.41099999999999998</c:v>
                </c:pt>
                <c:pt idx="4">
                  <c:v>0.309</c:v>
                </c:pt>
                <c:pt idx="5">
                  <c:v>0.25900000000000001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5D-4264-AF48-753ACF243FA3}"/>
            </c:ext>
          </c:extLst>
        </c:ser>
        <c:ser>
          <c:idx val="4"/>
          <c:order val="3"/>
          <c:tx>
            <c:v>5000 iterations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'3-volitelna'!$L$18:$L$23</c:f>
              <c:numCache>
                <c:formatCode>General</c:formatCode>
                <c:ptCount val="6"/>
                <c:pt idx="0">
                  <c:v>6.7140000000000004</c:v>
                </c:pt>
                <c:pt idx="1">
                  <c:v>3.4990000000000001</c:v>
                </c:pt>
                <c:pt idx="2">
                  <c:v>1.9219999999999999</c:v>
                </c:pt>
                <c:pt idx="3">
                  <c:v>1.024</c:v>
                </c:pt>
                <c:pt idx="4">
                  <c:v>0.77300000000000002</c:v>
                </c:pt>
                <c:pt idx="5">
                  <c:v>0.69599999999999995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5D-4264-AF48-753ACF243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671456496"/>
        <c:axId val="1671458672"/>
      </c:barChart>
      <c:valAx>
        <c:axId val="16714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</a:t>
                </a:r>
                <a:r>
                  <a:rPr lang="sk-SK"/>
                  <a:t> </a:t>
                </a:r>
                <a:r>
                  <a:rPr lang="en-US"/>
                  <a:t>time</a:t>
                </a:r>
                <a:r>
                  <a:rPr lang="sk-SK"/>
                  <a:t>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6496"/>
        <c:crosses val="autoZero"/>
        <c:crossBetween val="between"/>
      </c:valAx>
      <c:catAx>
        <c:axId val="167145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threads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8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C# </a:t>
            </a:r>
            <a:br>
              <a:rPr lang="sk-SK"/>
            </a:br>
            <a:r>
              <a:rPr lang="en-US"/>
              <a:t>[</a:t>
            </a:r>
            <a:r>
              <a:rPr lang="sk-SK"/>
              <a:t>2560 × 1440</a:t>
            </a:r>
            <a:r>
              <a:rPr lang="en-US"/>
              <a:t>]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500 iterations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'3-volitelna'!$C$29:$C$34</c:f>
              <c:numCache>
                <c:formatCode>General</c:formatCode>
                <c:ptCount val="6"/>
                <c:pt idx="0">
                  <c:v>1.2030000000000001</c:v>
                </c:pt>
                <c:pt idx="1">
                  <c:v>0.72299999999999998</c:v>
                </c:pt>
                <c:pt idx="2">
                  <c:v>0.376</c:v>
                </c:pt>
                <c:pt idx="3">
                  <c:v>0.216</c:v>
                </c:pt>
                <c:pt idx="4">
                  <c:v>0.14000000000000001</c:v>
                </c:pt>
                <c:pt idx="5">
                  <c:v>0.127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A-4735-B4BF-FD29610A4C8F}"/>
            </c:ext>
          </c:extLst>
        </c:ser>
        <c:ser>
          <c:idx val="2"/>
          <c:order val="1"/>
          <c:tx>
            <c:v>1000 iterations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'3-volitelna'!$F$29:$F$34</c:f>
              <c:numCache>
                <c:formatCode>General</c:formatCode>
                <c:ptCount val="6"/>
                <c:pt idx="0">
                  <c:v>2.5310000000000001</c:v>
                </c:pt>
                <c:pt idx="1">
                  <c:v>1.272</c:v>
                </c:pt>
                <c:pt idx="2">
                  <c:v>0.69799999999999995</c:v>
                </c:pt>
                <c:pt idx="3">
                  <c:v>0.379</c:v>
                </c:pt>
                <c:pt idx="4">
                  <c:v>0.27300000000000002</c:v>
                </c:pt>
                <c:pt idx="5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A-4735-B4BF-FD29610A4C8F}"/>
            </c:ext>
          </c:extLst>
        </c:ser>
        <c:ser>
          <c:idx val="3"/>
          <c:order val="2"/>
          <c:tx>
            <c:v>2000 iterations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'3-volitelna'!$I$29:$I$34</c:f>
              <c:numCache>
                <c:formatCode>General</c:formatCode>
                <c:ptCount val="6"/>
                <c:pt idx="0">
                  <c:v>5</c:v>
                </c:pt>
                <c:pt idx="1">
                  <c:v>2.4209999999999998</c:v>
                </c:pt>
                <c:pt idx="2">
                  <c:v>1.2949999999999999</c:v>
                </c:pt>
                <c:pt idx="3">
                  <c:v>0.77500000000000002</c:v>
                </c:pt>
                <c:pt idx="4">
                  <c:v>0.55600000000000005</c:v>
                </c:pt>
                <c:pt idx="5">
                  <c:v>0.497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FA-4735-B4BF-FD29610A4C8F}"/>
            </c:ext>
          </c:extLst>
        </c:ser>
        <c:ser>
          <c:idx val="4"/>
          <c:order val="3"/>
          <c:tx>
            <c:v>5000 iterations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'3-volitelna'!$L$29:$L$34</c:f>
              <c:numCache>
                <c:formatCode>General</c:formatCode>
                <c:ptCount val="6"/>
                <c:pt idx="0">
                  <c:v>11.776999999999999</c:v>
                </c:pt>
                <c:pt idx="1">
                  <c:v>6.1760000000000002</c:v>
                </c:pt>
                <c:pt idx="2">
                  <c:v>3.2679999999999998</c:v>
                </c:pt>
                <c:pt idx="3">
                  <c:v>1.823</c:v>
                </c:pt>
                <c:pt idx="4">
                  <c:v>1.385</c:v>
                </c:pt>
                <c:pt idx="5">
                  <c:v>1.2130000000000001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FA-4735-B4BF-FD29610A4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671456496"/>
        <c:axId val="1671458672"/>
      </c:barChart>
      <c:valAx>
        <c:axId val="16714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</a:t>
                </a:r>
                <a:r>
                  <a:rPr lang="sk-SK"/>
                  <a:t> </a:t>
                </a:r>
                <a:r>
                  <a:rPr lang="en-US"/>
                  <a:t>time</a:t>
                </a:r>
                <a:r>
                  <a:rPr lang="sk-SK"/>
                  <a:t>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6496"/>
        <c:crosses val="autoZero"/>
        <c:crossBetween val="between"/>
      </c:valAx>
      <c:catAx>
        <c:axId val="167145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threads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8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C# </a:t>
            </a:r>
            <a:br>
              <a:rPr lang="sk-SK"/>
            </a:br>
            <a:r>
              <a:rPr lang="en-US"/>
              <a:t>[</a:t>
            </a:r>
            <a:r>
              <a:rPr lang="sk-SK"/>
              <a:t>3840 × 2160</a:t>
            </a:r>
            <a:r>
              <a:rPr lang="en-US"/>
              <a:t>]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500 iterations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'3-volitelna'!$C$40:$C$45</c:f>
              <c:numCache>
                <c:formatCode>General</c:formatCode>
                <c:ptCount val="6"/>
                <c:pt idx="0">
                  <c:v>2.7160000000000002</c:v>
                </c:pt>
                <c:pt idx="1">
                  <c:v>1.4279999999999999</c:v>
                </c:pt>
                <c:pt idx="2">
                  <c:v>0.72199999999999998</c:v>
                </c:pt>
                <c:pt idx="3">
                  <c:v>0.42</c:v>
                </c:pt>
                <c:pt idx="4">
                  <c:v>0.31900000000000001</c:v>
                </c:pt>
                <c:pt idx="5">
                  <c:v>0.316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2-4BAB-A449-81FB284D8C0D}"/>
            </c:ext>
          </c:extLst>
        </c:ser>
        <c:ser>
          <c:idx val="2"/>
          <c:order val="1"/>
          <c:tx>
            <c:v>1000 iterations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'3-volitelna'!$F$40:$F$45</c:f>
              <c:numCache>
                <c:formatCode>General</c:formatCode>
                <c:ptCount val="6"/>
                <c:pt idx="0">
                  <c:v>5.3220000000000001</c:v>
                </c:pt>
                <c:pt idx="1">
                  <c:v>2.6890000000000001</c:v>
                </c:pt>
                <c:pt idx="2">
                  <c:v>1.48</c:v>
                </c:pt>
                <c:pt idx="3">
                  <c:v>1.073</c:v>
                </c:pt>
                <c:pt idx="4">
                  <c:v>0.68899999999999995</c:v>
                </c:pt>
                <c:pt idx="5">
                  <c:v>0.56499999999999995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2-4BAB-A449-81FB284D8C0D}"/>
            </c:ext>
          </c:extLst>
        </c:ser>
        <c:ser>
          <c:idx val="3"/>
          <c:order val="2"/>
          <c:tx>
            <c:v>2000 iterations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'3-volitelna'!$I$40:$I$45</c:f>
              <c:numCache>
                <c:formatCode>General</c:formatCode>
                <c:ptCount val="6"/>
                <c:pt idx="0">
                  <c:v>10.561999999999999</c:v>
                </c:pt>
                <c:pt idx="1">
                  <c:v>5.4109999999999996</c:v>
                </c:pt>
                <c:pt idx="2">
                  <c:v>2.8540000000000001</c:v>
                </c:pt>
                <c:pt idx="3">
                  <c:v>1.633</c:v>
                </c:pt>
                <c:pt idx="4">
                  <c:v>1.177</c:v>
                </c:pt>
                <c:pt idx="5">
                  <c:v>0.98799999999999999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62-4BAB-A449-81FB284D8C0D}"/>
            </c:ext>
          </c:extLst>
        </c:ser>
        <c:ser>
          <c:idx val="4"/>
          <c:order val="3"/>
          <c:tx>
            <c:v>5000 iterations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'3-volitelna'!$L$40:$L$45</c:f>
              <c:numCache>
                <c:formatCode>General</c:formatCode>
                <c:ptCount val="6"/>
                <c:pt idx="0">
                  <c:v>27.026</c:v>
                </c:pt>
                <c:pt idx="1">
                  <c:v>13.872999999999999</c:v>
                </c:pt>
                <c:pt idx="2">
                  <c:v>7.16</c:v>
                </c:pt>
                <c:pt idx="3">
                  <c:v>4.0019999999999998</c:v>
                </c:pt>
                <c:pt idx="4">
                  <c:v>3.0739999999999998</c:v>
                </c:pt>
                <c:pt idx="5">
                  <c:v>2.4449999999999998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62-4BAB-A449-81FB284D8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671456496"/>
        <c:axId val="1671458672"/>
      </c:barChart>
      <c:valAx>
        <c:axId val="16714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</a:t>
                </a:r>
                <a:r>
                  <a:rPr lang="sk-SK"/>
                  <a:t> </a:t>
                </a:r>
                <a:r>
                  <a:rPr lang="en-US"/>
                  <a:t>time</a:t>
                </a:r>
                <a:r>
                  <a:rPr lang="sk-SK"/>
                  <a:t>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6496"/>
        <c:crosses val="autoZero"/>
        <c:crossBetween val="between"/>
      </c:valAx>
      <c:catAx>
        <c:axId val="167145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threads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8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C# </a:t>
            </a:r>
            <a:br>
              <a:rPr lang="sk-SK"/>
            </a:br>
            <a:r>
              <a:rPr lang="en-US"/>
              <a:t>[</a:t>
            </a:r>
            <a:r>
              <a:rPr lang="sk-SK"/>
              <a:t>800 × 600</a:t>
            </a:r>
            <a:r>
              <a:rPr lang="en-US"/>
              <a:t>]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500 iterations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'3-volitelna'!$D$18:$D$23</c:f>
              <c:numCache>
                <c:formatCode>General</c:formatCode>
                <c:ptCount val="6"/>
                <c:pt idx="0">
                  <c:v>1</c:v>
                </c:pt>
                <c:pt idx="1">
                  <c:v>1.9794721407624634</c:v>
                </c:pt>
                <c:pt idx="2">
                  <c:v>3.5714285714285716</c:v>
                </c:pt>
                <c:pt idx="3">
                  <c:v>5.818965517241379</c:v>
                </c:pt>
                <c:pt idx="4">
                  <c:v>8.3333333333333339</c:v>
                </c:pt>
                <c:pt idx="5">
                  <c:v>10.384615384615385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71-44D6-97EE-44B765644014}"/>
            </c:ext>
          </c:extLst>
        </c:ser>
        <c:ser>
          <c:idx val="0"/>
          <c:order val="1"/>
          <c:tx>
            <c:v>1000 iterations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'3-volitelna'!$G$7:$G$12</c:f>
              <c:numCache>
                <c:formatCode>0.00</c:formatCode>
                <c:ptCount val="6"/>
                <c:pt idx="0" formatCode="General">
                  <c:v>1</c:v>
                </c:pt>
                <c:pt idx="1">
                  <c:v>1.9918032786885247</c:v>
                </c:pt>
                <c:pt idx="2">
                  <c:v>3.5217391304347823</c:v>
                </c:pt>
                <c:pt idx="3">
                  <c:v>6.0749999999999993</c:v>
                </c:pt>
                <c:pt idx="4">
                  <c:v>7.838709677419355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71-44D6-97EE-44B765644014}"/>
            </c:ext>
          </c:extLst>
        </c:ser>
        <c:ser>
          <c:idx val="2"/>
          <c:order val="2"/>
          <c:tx>
            <c:v>2000 iterations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'3-volitelna'!$J$7:$J$12</c:f>
              <c:numCache>
                <c:formatCode>0.00</c:formatCode>
                <c:ptCount val="6"/>
                <c:pt idx="0" formatCode="General">
                  <c:v>1</c:v>
                </c:pt>
                <c:pt idx="1">
                  <c:v>1.9626556016597509</c:v>
                </c:pt>
                <c:pt idx="2">
                  <c:v>3.3546099290780145</c:v>
                </c:pt>
                <c:pt idx="3">
                  <c:v>6.2236842105263159</c:v>
                </c:pt>
                <c:pt idx="4">
                  <c:v>7.7540983606557372</c:v>
                </c:pt>
                <c:pt idx="5">
                  <c:v>8.2982456140350873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71-44D6-97EE-44B765644014}"/>
            </c:ext>
          </c:extLst>
        </c:ser>
        <c:ser>
          <c:idx val="3"/>
          <c:order val="3"/>
          <c:tx>
            <c:v>5000 iterations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'3-volitelna'!$M$7:$M$12</c:f>
              <c:numCache>
                <c:formatCode>0.00</c:formatCode>
                <c:ptCount val="6"/>
                <c:pt idx="0" formatCode="General">
                  <c:v>1</c:v>
                </c:pt>
                <c:pt idx="1">
                  <c:v>1.9412751677852351</c:v>
                </c:pt>
                <c:pt idx="2">
                  <c:v>3.5931677018633539</c:v>
                </c:pt>
                <c:pt idx="3">
                  <c:v>5.9030612244897958</c:v>
                </c:pt>
                <c:pt idx="4">
                  <c:v>7.6622516556291398</c:v>
                </c:pt>
                <c:pt idx="5">
                  <c:v>8.2642857142857142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71-44D6-97EE-44B765644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456496"/>
        <c:axId val="1671458672"/>
      </c:lineChart>
      <c:lineChart>
        <c:grouping val="standard"/>
        <c:varyColors val="0"/>
        <c:ser>
          <c:idx val="4"/>
          <c:order val="4"/>
          <c:tx>
            <c:v>ef-500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'3-volitelna'!$E$7:$E$12</c:f>
              <c:numCache>
                <c:formatCode>0.00%</c:formatCode>
                <c:ptCount val="6"/>
                <c:pt idx="0">
                  <c:v>1</c:v>
                </c:pt>
                <c:pt idx="1">
                  <c:v>0.91666666666666663</c:v>
                </c:pt>
                <c:pt idx="2">
                  <c:v>0.91666666666666663</c:v>
                </c:pt>
                <c:pt idx="3">
                  <c:v>0.72023809523809512</c:v>
                </c:pt>
                <c:pt idx="4">
                  <c:v>0.63020833333333337</c:v>
                </c:pt>
                <c:pt idx="5">
                  <c:v>0.47265625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71-44D6-97EE-44B765644014}"/>
            </c:ext>
          </c:extLst>
        </c:ser>
        <c:ser>
          <c:idx val="5"/>
          <c:order val="5"/>
          <c:tx>
            <c:v>ef-1000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'3-volitelna'!$H$7:$H$12</c:f>
              <c:numCache>
                <c:formatCode>0.00%</c:formatCode>
                <c:ptCount val="6"/>
                <c:pt idx="0">
                  <c:v>1</c:v>
                </c:pt>
                <c:pt idx="1">
                  <c:v>0.99590163934426235</c:v>
                </c:pt>
                <c:pt idx="2">
                  <c:v>0.88043478260869557</c:v>
                </c:pt>
                <c:pt idx="3">
                  <c:v>0.75937499999999991</c:v>
                </c:pt>
                <c:pt idx="4">
                  <c:v>0.65322580645161288</c:v>
                </c:pt>
                <c:pt idx="5">
                  <c:v>0.5625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C71-44D6-97EE-44B765644014}"/>
            </c:ext>
          </c:extLst>
        </c:ser>
        <c:ser>
          <c:idx val="6"/>
          <c:order val="6"/>
          <c:tx>
            <c:v>ef-2000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'3-volitelna'!$K$7:$K$12</c:f>
              <c:numCache>
                <c:formatCode>0.00%</c:formatCode>
                <c:ptCount val="6"/>
                <c:pt idx="0">
                  <c:v>1</c:v>
                </c:pt>
                <c:pt idx="1">
                  <c:v>0.98132780082987547</c:v>
                </c:pt>
                <c:pt idx="2">
                  <c:v>0.83865248226950362</c:v>
                </c:pt>
                <c:pt idx="3">
                  <c:v>0.77796052631578949</c:v>
                </c:pt>
                <c:pt idx="4">
                  <c:v>0.64617486338797814</c:v>
                </c:pt>
                <c:pt idx="5">
                  <c:v>0.69152046783625731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71-44D6-97EE-44B765644014}"/>
            </c:ext>
          </c:extLst>
        </c:ser>
        <c:ser>
          <c:idx val="7"/>
          <c:order val="7"/>
          <c:tx>
            <c:v>ef-5000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'3-volitelna'!$N$7:$N$12</c:f>
              <c:numCache>
                <c:formatCode>0.00%</c:formatCode>
                <c:ptCount val="6"/>
                <c:pt idx="0">
                  <c:v>1</c:v>
                </c:pt>
                <c:pt idx="1">
                  <c:v>0.97063758389261756</c:v>
                </c:pt>
                <c:pt idx="2">
                  <c:v>0.89829192546583847</c:v>
                </c:pt>
                <c:pt idx="3">
                  <c:v>0.73788265306122447</c:v>
                </c:pt>
                <c:pt idx="4">
                  <c:v>0.63852097130242835</c:v>
                </c:pt>
                <c:pt idx="5">
                  <c:v>0.51651785714285714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C71-44D6-97EE-44B765644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659663"/>
        <c:axId val="734624143"/>
      </c:lineChart>
      <c:valAx>
        <c:axId val="16714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6496"/>
        <c:crosses val="autoZero"/>
        <c:crossBetween val="between"/>
      </c:valAx>
      <c:catAx>
        <c:axId val="167145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threads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8672"/>
        <c:crosses val="autoZero"/>
        <c:auto val="1"/>
        <c:lblAlgn val="ctr"/>
        <c:lblOffset val="100"/>
        <c:noMultiLvlLbl val="0"/>
      </c:catAx>
      <c:valAx>
        <c:axId val="7346241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34659663"/>
        <c:crosses val="max"/>
        <c:crossBetween val="between"/>
      </c:valAx>
      <c:catAx>
        <c:axId val="734659663"/>
        <c:scaling>
          <c:orientation val="minMax"/>
        </c:scaling>
        <c:delete val="1"/>
        <c:axPos val="b"/>
        <c:majorTickMark val="out"/>
        <c:minorTickMark val="none"/>
        <c:tickLblPos val="nextTo"/>
        <c:crossAx val="734624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C# </a:t>
            </a:r>
            <a:br>
              <a:rPr lang="sk-SK"/>
            </a:br>
            <a:r>
              <a:rPr lang="en-US"/>
              <a:t>[</a:t>
            </a:r>
            <a:r>
              <a:rPr lang="sk-SK"/>
              <a:t>1920 × 1080</a:t>
            </a:r>
            <a:r>
              <a:rPr lang="en-US"/>
              <a:t>]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500 iterations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'3-volitelna'!$D$18:$D$23</c:f>
              <c:numCache>
                <c:formatCode>General</c:formatCode>
                <c:ptCount val="6"/>
                <c:pt idx="0">
                  <c:v>1</c:v>
                </c:pt>
                <c:pt idx="1">
                  <c:v>1.9794721407624634</c:v>
                </c:pt>
                <c:pt idx="2">
                  <c:v>3.5714285714285716</c:v>
                </c:pt>
                <c:pt idx="3">
                  <c:v>5.818965517241379</c:v>
                </c:pt>
                <c:pt idx="4">
                  <c:v>8.3333333333333339</c:v>
                </c:pt>
                <c:pt idx="5">
                  <c:v>10.384615384615385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19-4B7B-B192-02CB77BCFCA5}"/>
            </c:ext>
          </c:extLst>
        </c:ser>
        <c:ser>
          <c:idx val="0"/>
          <c:order val="1"/>
          <c:tx>
            <c:v>1000 iterations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'3-volitelna'!$G$18:$G$23</c:f>
              <c:numCache>
                <c:formatCode>0.00</c:formatCode>
                <c:ptCount val="6"/>
                <c:pt idx="0" formatCode="General">
                  <c:v>1</c:v>
                </c:pt>
                <c:pt idx="1">
                  <c:v>1.9075630252100844</c:v>
                </c:pt>
                <c:pt idx="2">
                  <c:v>3.528497409326425</c:v>
                </c:pt>
                <c:pt idx="3">
                  <c:v>6.1351351351351351</c:v>
                </c:pt>
                <c:pt idx="4">
                  <c:v>8.7307692307692317</c:v>
                </c:pt>
                <c:pt idx="5">
                  <c:v>10.088888888888889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19-4B7B-B192-02CB77BCFCA5}"/>
            </c:ext>
          </c:extLst>
        </c:ser>
        <c:ser>
          <c:idx val="2"/>
          <c:order val="2"/>
          <c:tx>
            <c:v>2000 iterations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'3-volitelna'!$J$18:$J$23</c:f>
              <c:numCache>
                <c:formatCode>General</c:formatCode>
                <c:ptCount val="6"/>
                <c:pt idx="0">
                  <c:v>1</c:v>
                </c:pt>
                <c:pt idx="1">
                  <c:v>1.9646539027982326</c:v>
                </c:pt>
                <c:pt idx="2">
                  <c:v>3.6102841677943167</c:v>
                </c:pt>
                <c:pt idx="3">
                  <c:v>6.4914841849148424</c:v>
                </c:pt>
                <c:pt idx="4">
                  <c:v>8.634304207119742</c:v>
                </c:pt>
                <c:pt idx="5">
                  <c:v>10.301158301158301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19-4B7B-B192-02CB77BCFCA5}"/>
            </c:ext>
          </c:extLst>
        </c:ser>
        <c:ser>
          <c:idx val="3"/>
          <c:order val="3"/>
          <c:tx>
            <c:v>5000 iterations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'3-volitelna'!$M$18:$M$23</c:f>
              <c:numCache>
                <c:formatCode>General</c:formatCode>
                <c:ptCount val="6"/>
                <c:pt idx="0">
                  <c:v>1</c:v>
                </c:pt>
                <c:pt idx="1">
                  <c:v>1.9188339525578737</c:v>
                </c:pt>
                <c:pt idx="2">
                  <c:v>3.4932362122788767</c:v>
                </c:pt>
                <c:pt idx="3">
                  <c:v>6.556640625</c:v>
                </c:pt>
                <c:pt idx="4">
                  <c:v>8.6856403622250973</c:v>
                </c:pt>
                <c:pt idx="5">
                  <c:v>9.6465517241379324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19-4B7B-B192-02CB77BCF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456496"/>
        <c:axId val="1671458672"/>
      </c:lineChart>
      <c:lineChart>
        <c:grouping val="standard"/>
        <c:varyColors val="0"/>
        <c:ser>
          <c:idx val="4"/>
          <c:order val="4"/>
          <c:tx>
            <c:v>ef-500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'3-volitelna'!$E$18:$E$23</c:f>
              <c:numCache>
                <c:formatCode>0.00%</c:formatCode>
                <c:ptCount val="6"/>
                <c:pt idx="0">
                  <c:v>1</c:v>
                </c:pt>
                <c:pt idx="1">
                  <c:v>0.98973607038123168</c:v>
                </c:pt>
                <c:pt idx="2">
                  <c:v>0.8928571428571429</c:v>
                </c:pt>
                <c:pt idx="3">
                  <c:v>0.72737068965517238</c:v>
                </c:pt>
                <c:pt idx="4">
                  <c:v>0.69444444444444453</c:v>
                </c:pt>
                <c:pt idx="5">
                  <c:v>0.64903846153846156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19-4B7B-B192-02CB77BCFCA5}"/>
            </c:ext>
          </c:extLst>
        </c:ser>
        <c:ser>
          <c:idx val="5"/>
          <c:order val="5"/>
          <c:tx>
            <c:v>ef-1000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'3-volitelna'!$H$18:$H$23</c:f>
              <c:numCache>
                <c:formatCode>0.00%</c:formatCode>
                <c:ptCount val="6"/>
                <c:pt idx="0">
                  <c:v>1</c:v>
                </c:pt>
                <c:pt idx="1">
                  <c:v>0.95378151260504218</c:v>
                </c:pt>
                <c:pt idx="2">
                  <c:v>0.88212435233160624</c:v>
                </c:pt>
                <c:pt idx="3">
                  <c:v>0.76689189189189189</c:v>
                </c:pt>
                <c:pt idx="4">
                  <c:v>0.72756410256410264</c:v>
                </c:pt>
                <c:pt idx="5">
                  <c:v>0.63055555555555554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19-4B7B-B192-02CB77BCFCA5}"/>
            </c:ext>
          </c:extLst>
        </c:ser>
        <c:ser>
          <c:idx val="6"/>
          <c:order val="6"/>
          <c:tx>
            <c:v>ef-2000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'3-volitelna'!$K$18:$K$23</c:f>
              <c:numCache>
                <c:formatCode>0.00%</c:formatCode>
                <c:ptCount val="6"/>
                <c:pt idx="0">
                  <c:v>1</c:v>
                </c:pt>
                <c:pt idx="1">
                  <c:v>0.9823269513991163</c:v>
                </c:pt>
                <c:pt idx="2">
                  <c:v>0.90257104194857918</c:v>
                </c:pt>
                <c:pt idx="3">
                  <c:v>0.81143552311435529</c:v>
                </c:pt>
                <c:pt idx="4">
                  <c:v>0.7195253505933118</c:v>
                </c:pt>
                <c:pt idx="5">
                  <c:v>0.64382239382239381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19-4B7B-B192-02CB77BCFCA5}"/>
            </c:ext>
          </c:extLst>
        </c:ser>
        <c:ser>
          <c:idx val="7"/>
          <c:order val="7"/>
          <c:tx>
            <c:v>ef-5000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'3-volitelna'!$N$18:$N$23</c:f>
              <c:numCache>
                <c:formatCode>0.00%</c:formatCode>
                <c:ptCount val="6"/>
                <c:pt idx="0">
                  <c:v>1</c:v>
                </c:pt>
                <c:pt idx="1">
                  <c:v>0.95941697627893685</c:v>
                </c:pt>
                <c:pt idx="2">
                  <c:v>0.87330905306971918</c:v>
                </c:pt>
                <c:pt idx="3">
                  <c:v>0.819580078125</c:v>
                </c:pt>
                <c:pt idx="4">
                  <c:v>0.72380336351875807</c:v>
                </c:pt>
                <c:pt idx="5">
                  <c:v>0.60290948275862077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19-4B7B-B192-02CB77BCF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659663"/>
        <c:axId val="734624143"/>
      </c:lineChart>
      <c:valAx>
        <c:axId val="16714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6496"/>
        <c:crosses val="autoZero"/>
        <c:crossBetween val="between"/>
      </c:valAx>
      <c:catAx>
        <c:axId val="167145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threads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8672"/>
        <c:crosses val="autoZero"/>
        <c:auto val="1"/>
        <c:lblAlgn val="ctr"/>
        <c:lblOffset val="100"/>
        <c:noMultiLvlLbl val="0"/>
      </c:catAx>
      <c:valAx>
        <c:axId val="7346241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34659663"/>
        <c:crosses val="max"/>
        <c:crossBetween val="between"/>
      </c:valAx>
      <c:catAx>
        <c:axId val="734659663"/>
        <c:scaling>
          <c:orientation val="minMax"/>
        </c:scaling>
        <c:delete val="1"/>
        <c:axPos val="b"/>
        <c:majorTickMark val="out"/>
        <c:minorTickMark val="none"/>
        <c:tickLblPos val="nextTo"/>
        <c:crossAx val="734624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C# </a:t>
            </a:r>
            <a:br>
              <a:rPr lang="sk-SK"/>
            </a:br>
            <a:r>
              <a:rPr lang="en-US"/>
              <a:t>[</a:t>
            </a:r>
            <a:r>
              <a:rPr lang="sk-SK"/>
              <a:t>2560 × 1440</a:t>
            </a:r>
            <a:r>
              <a:rPr lang="en-US"/>
              <a:t>]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500 iterations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'3-volitelna'!$D$29:$D$34</c:f>
              <c:numCache>
                <c:formatCode>General</c:formatCode>
                <c:ptCount val="6"/>
                <c:pt idx="0">
                  <c:v>1</c:v>
                </c:pt>
                <c:pt idx="1">
                  <c:v>1.6639004149377594</c:v>
                </c:pt>
                <c:pt idx="2">
                  <c:v>3.1994680851063833</c:v>
                </c:pt>
                <c:pt idx="3">
                  <c:v>5.5694444444444446</c:v>
                </c:pt>
                <c:pt idx="4">
                  <c:v>8.5928571428571434</c:v>
                </c:pt>
                <c:pt idx="5">
                  <c:v>9.4724409448818907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8-4FAB-81B3-8D7FE07D5B5E}"/>
            </c:ext>
          </c:extLst>
        </c:ser>
        <c:ser>
          <c:idx val="0"/>
          <c:order val="1"/>
          <c:tx>
            <c:v>1000 iterations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'3-volitelna'!$G$29:$G$34</c:f>
              <c:numCache>
                <c:formatCode>General</c:formatCode>
                <c:ptCount val="6"/>
                <c:pt idx="0">
                  <c:v>1</c:v>
                </c:pt>
                <c:pt idx="1">
                  <c:v>1.9897798742138366</c:v>
                </c:pt>
                <c:pt idx="2">
                  <c:v>3.6260744985673359</c:v>
                </c:pt>
                <c:pt idx="3">
                  <c:v>6.6781002638522429</c:v>
                </c:pt>
                <c:pt idx="4">
                  <c:v>9.2710622710622701</c:v>
                </c:pt>
                <c:pt idx="5">
                  <c:v>10.545833333333334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8-4FAB-81B3-8D7FE07D5B5E}"/>
            </c:ext>
          </c:extLst>
        </c:ser>
        <c:ser>
          <c:idx val="2"/>
          <c:order val="2"/>
          <c:tx>
            <c:v>2000 iterations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'3-volitelna'!$J$29:$J$34</c:f>
              <c:numCache>
                <c:formatCode>General</c:formatCode>
                <c:ptCount val="6"/>
                <c:pt idx="0">
                  <c:v>1</c:v>
                </c:pt>
                <c:pt idx="1">
                  <c:v>2.0652622883106155</c:v>
                </c:pt>
                <c:pt idx="2">
                  <c:v>3.8610038610038613</c:v>
                </c:pt>
                <c:pt idx="3">
                  <c:v>6.4516129032258061</c:v>
                </c:pt>
                <c:pt idx="4">
                  <c:v>8.9928057553956826</c:v>
                </c:pt>
                <c:pt idx="5">
                  <c:v>10.060362173038229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C8-4FAB-81B3-8D7FE07D5B5E}"/>
            </c:ext>
          </c:extLst>
        </c:ser>
        <c:ser>
          <c:idx val="3"/>
          <c:order val="3"/>
          <c:tx>
            <c:v>5000 iterations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'3-volitelna'!$M$29:$M$34</c:f>
              <c:numCache>
                <c:formatCode>General</c:formatCode>
                <c:ptCount val="6"/>
                <c:pt idx="0">
                  <c:v>1</c:v>
                </c:pt>
                <c:pt idx="1">
                  <c:v>1.9068976683937822</c:v>
                </c:pt>
                <c:pt idx="2">
                  <c:v>3.6037331701346389</c:v>
                </c:pt>
                <c:pt idx="3">
                  <c:v>6.4602303894679096</c:v>
                </c:pt>
                <c:pt idx="4">
                  <c:v>8.5032490974729242</c:v>
                </c:pt>
                <c:pt idx="5">
                  <c:v>9.7089859851607567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C8-4FAB-81B3-8D7FE07D5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456496"/>
        <c:axId val="1671458672"/>
      </c:lineChart>
      <c:lineChart>
        <c:grouping val="standard"/>
        <c:varyColors val="0"/>
        <c:ser>
          <c:idx val="4"/>
          <c:order val="4"/>
          <c:tx>
            <c:v>ef-500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'3-volitelna'!$E$29:$E$34</c:f>
              <c:numCache>
                <c:formatCode>0.00%</c:formatCode>
                <c:ptCount val="6"/>
                <c:pt idx="0">
                  <c:v>1</c:v>
                </c:pt>
                <c:pt idx="1">
                  <c:v>0.83195020746887971</c:v>
                </c:pt>
                <c:pt idx="2">
                  <c:v>0.79986702127659581</c:v>
                </c:pt>
                <c:pt idx="3">
                  <c:v>0.69618055555555558</c:v>
                </c:pt>
                <c:pt idx="4">
                  <c:v>0.71607142857142858</c:v>
                </c:pt>
                <c:pt idx="5">
                  <c:v>0.59202755905511817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C8-4FAB-81B3-8D7FE07D5B5E}"/>
            </c:ext>
          </c:extLst>
        </c:ser>
        <c:ser>
          <c:idx val="5"/>
          <c:order val="5"/>
          <c:tx>
            <c:v>ef-1000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'3-volitelna'!$H$29:$H$34</c:f>
              <c:numCache>
                <c:formatCode>0.00%</c:formatCode>
                <c:ptCount val="6"/>
                <c:pt idx="0">
                  <c:v>1</c:v>
                </c:pt>
                <c:pt idx="1">
                  <c:v>0.99488993710691831</c:v>
                </c:pt>
                <c:pt idx="2">
                  <c:v>0.90651862464183397</c:v>
                </c:pt>
                <c:pt idx="3">
                  <c:v>0.83476253298153036</c:v>
                </c:pt>
                <c:pt idx="4">
                  <c:v>0.77258852258852251</c:v>
                </c:pt>
                <c:pt idx="5">
                  <c:v>0.65911458333333339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C8-4FAB-81B3-8D7FE07D5B5E}"/>
            </c:ext>
          </c:extLst>
        </c:ser>
        <c:ser>
          <c:idx val="6"/>
          <c:order val="6"/>
          <c:tx>
            <c:v>ef-2000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'3-volitelna'!$K$29:$K$34</c:f>
              <c:numCache>
                <c:formatCode>0.00%</c:formatCode>
                <c:ptCount val="6"/>
                <c:pt idx="0">
                  <c:v>1</c:v>
                </c:pt>
                <c:pt idx="1">
                  <c:v>1.0326311441553078</c:v>
                </c:pt>
                <c:pt idx="2">
                  <c:v>0.96525096525096532</c:v>
                </c:pt>
                <c:pt idx="3">
                  <c:v>0.80645161290322576</c:v>
                </c:pt>
                <c:pt idx="4">
                  <c:v>0.74940047961630685</c:v>
                </c:pt>
                <c:pt idx="5">
                  <c:v>0.62877263581488929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C8-4FAB-81B3-8D7FE07D5B5E}"/>
            </c:ext>
          </c:extLst>
        </c:ser>
        <c:ser>
          <c:idx val="7"/>
          <c:order val="7"/>
          <c:tx>
            <c:v>ef-5000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'3-volitelna'!$N$29:$N$34</c:f>
              <c:numCache>
                <c:formatCode>0.00%</c:formatCode>
                <c:ptCount val="6"/>
                <c:pt idx="0">
                  <c:v>1</c:v>
                </c:pt>
                <c:pt idx="1">
                  <c:v>0.95344883419689108</c:v>
                </c:pt>
                <c:pt idx="2">
                  <c:v>0.90093329253365972</c:v>
                </c:pt>
                <c:pt idx="3">
                  <c:v>0.8075287986834887</c:v>
                </c:pt>
                <c:pt idx="4">
                  <c:v>0.70860409145607706</c:v>
                </c:pt>
                <c:pt idx="5">
                  <c:v>0.6068116240725473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C8-4FAB-81B3-8D7FE07D5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659663"/>
        <c:axId val="734624143"/>
      </c:lineChart>
      <c:valAx>
        <c:axId val="16714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6496"/>
        <c:crosses val="autoZero"/>
        <c:crossBetween val="between"/>
      </c:valAx>
      <c:catAx>
        <c:axId val="167145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threads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8672"/>
        <c:crosses val="autoZero"/>
        <c:auto val="1"/>
        <c:lblAlgn val="ctr"/>
        <c:lblOffset val="100"/>
        <c:noMultiLvlLbl val="0"/>
      </c:catAx>
      <c:valAx>
        <c:axId val="7346241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34659663"/>
        <c:crosses val="max"/>
        <c:crossBetween val="between"/>
      </c:valAx>
      <c:catAx>
        <c:axId val="734659663"/>
        <c:scaling>
          <c:orientation val="minMax"/>
        </c:scaling>
        <c:delete val="1"/>
        <c:axPos val="b"/>
        <c:majorTickMark val="out"/>
        <c:minorTickMark val="none"/>
        <c:tickLblPos val="nextTo"/>
        <c:crossAx val="734624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C# </a:t>
            </a:r>
            <a:br>
              <a:rPr lang="sk-SK"/>
            </a:br>
            <a:r>
              <a:rPr lang="en-US"/>
              <a:t>[</a:t>
            </a:r>
            <a:r>
              <a:rPr lang="sk-SK"/>
              <a:t>3840 × 2160</a:t>
            </a:r>
            <a:r>
              <a:rPr lang="en-US"/>
              <a:t>]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500 iterations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'3-volitelna'!$D$40:$D$45</c:f>
              <c:numCache>
                <c:formatCode>General</c:formatCode>
                <c:ptCount val="6"/>
                <c:pt idx="0">
                  <c:v>1</c:v>
                </c:pt>
                <c:pt idx="1">
                  <c:v>1.9019607843137256</c:v>
                </c:pt>
                <c:pt idx="2">
                  <c:v>3.7617728531855961</c:v>
                </c:pt>
                <c:pt idx="3">
                  <c:v>6.4666666666666677</c:v>
                </c:pt>
                <c:pt idx="4">
                  <c:v>8.5141065830721008</c:v>
                </c:pt>
                <c:pt idx="5">
                  <c:v>8.5949367088607609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7-4174-ADF1-9C311B5D99F4}"/>
            </c:ext>
          </c:extLst>
        </c:ser>
        <c:ser>
          <c:idx val="0"/>
          <c:order val="1"/>
          <c:tx>
            <c:v>1000 iterations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'3-volitelna'!$G$40:$G$45</c:f>
              <c:numCache>
                <c:formatCode>General</c:formatCode>
                <c:ptCount val="6"/>
                <c:pt idx="0">
                  <c:v>1</c:v>
                </c:pt>
                <c:pt idx="1">
                  <c:v>1.9791744142804015</c:v>
                </c:pt>
                <c:pt idx="2">
                  <c:v>3.595945945945946</c:v>
                </c:pt>
                <c:pt idx="3">
                  <c:v>4.9599254426840638</c:v>
                </c:pt>
                <c:pt idx="4">
                  <c:v>7.7242380261248194</c:v>
                </c:pt>
                <c:pt idx="5">
                  <c:v>9.4194690265486738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A7-4174-ADF1-9C311B5D99F4}"/>
            </c:ext>
          </c:extLst>
        </c:ser>
        <c:ser>
          <c:idx val="2"/>
          <c:order val="2"/>
          <c:tx>
            <c:v>2000 iterations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'3-volitelna'!$J$40:$J$45</c:f>
              <c:numCache>
                <c:formatCode>General</c:formatCode>
                <c:ptCount val="6"/>
                <c:pt idx="0">
                  <c:v>1</c:v>
                </c:pt>
                <c:pt idx="1">
                  <c:v>1.9519497320273518</c:v>
                </c:pt>
                <c:pt idx="2">
                  <c:v>3.7007708479327257</c:v>
                </c:pt>
                <c:pt idx="3">
                  <c:v>6.4678505817513772</c:v>
                </c:pt>
                <c:pt idx="4">
                  <c:v>8.9736618521665239</c:v>
                </c:pt>
                <c:pt idx="5">
                  <c:v>10.690283400809717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A7-4174-ADF1-9C311B5D99F4}"/>
            </c:ext>
          </c:extLst>
        </c:ser>
        <c:ser>
          <c:idx val="3"/>
          <c:order val="3"/>
          <c:tx>
            <c:v>5000 iterations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'3-volitelna'!$B$7:$B$12</c:f>
              <c:strCache>
                <c:ptCount val="6"/>
                <c:pt idx="0">
                  <c:v>Serial algorithm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12 threads</c:v>
                </c:pt>
                <c:pt idx="5">
                  <c:v>16 threads</c:v>
                </c:pt>
              </c:strCache>
            </c:strRef>
          </c:cat>
          <c:val>
            <c:numRef>
              <c:f>'3-volitelna'!$M$40:$M$45</c:f>
              <c:numCache>
                <c:formatCode>General</c:formatCode>
                <c:ptCount val="6"/>
                <c:pt idx="0">
                  <c:v>1</c:v>
                </c:pt>
                <c:pt idx="1">
                  <c:v>1.9481006271174224</c:v>
                </c:pt>
                <c:pt idx="2">
                  <c:v>3.774581005586592</c:v>
                </c:pt>
                <c:pt idx="3">
                  <c:v>6.75312343828086</c:v>
                </c:pt>
                <c:pt idx="4">
                  <c:v>8.791802212101496</c:v>
                </c:pt>
                <c:pt idx="5">
                  <c:v>11.05357873210634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A7-4174-ADF1-9C311B5D9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456496"/>
        <c:axId val="1671458672"/>
      </c:lineChart>
      <c:lineChart>
        <c:grouping val="standard"/>
        <c:varyColors val="0"/>
        <c:ser>
          <c:idx val="4"/>
          <c:order val="4"/>
          <c:tx>
            <c:v>ef-500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'3-volitelna'!$E$40:$E$45</c:f>
              <c:numCache>
                <c:formatCode>0.00%</c:formatCode>
                <c:ptCount val="6"/>
                <c:pt idx="0">
                  <c:v>1</c:v>
                </c:pt>
                <c:pt idx="1">
                  <c:v>0.95098039215686281</c:v>
                </c:pt>
                <c:pt idx="2">
                  <c:v>0.94044321329639902</c:v>
                </c:pt>
                <c:pt idx="3">
                  <c:v>0.80833333333333346</c:v>
                </c:pt>
                <c:pt idx="4">
                  <c:v>0.70950888192267503</c:v>
                </c:pt>
                <c:pt idx="5">
                  <c:v>0.53718354430379756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A7-4174-ADF1-9C311B5D99F4}"/>
            </c:ext>
          </c:extLst>
        </c:ser>
        <c:ser>
          <c:idx val="5"/>
          <c:order val="5"/>
          <c:tx>
            <c:v>ef-1000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'3-volitelna'!$H$40:$H$45</c:f>
              <c:numCache>
                <c:formatCode>0.00%</c:formatCode>
                <c:ptCount val="6"/>
                <c:pt idx="0">
                  <c:v>1</c:v>
                </c:pt>
                <c:pt idx="1">
                  <c:v>0.98958720714020076</c:v>
                </c:pt>
                <c:pt idx="2">
                  <c:v>0.89898648648648649</c:v>
                </c:pt>
                <c:pt idx="3">
                  <c:v>0.61999068033550797</c:v>
                </c:pt>
                <c:pt idx="4">
                  <c:v>0.64368650217706824</c:v>
                </c:pt>
                <c:pt idx="5">
                  <c:v>0.58871681415929211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A7-4174-ADF1-9C311B5D99F4}"/>
            </c:ext>
          </c:extLst>
        </c:ser>
        <c:ser>
          <c:idx val="6"/>
          <c:order val="6"/>
          <c:tx>
            <c:v>ef-2000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'3-volitelna'!$K$40:$K$45</c:f>
              <c:numCache>
                <c:formatCode>0.00%</c:formatCode>
                <c:ptCount val="6"/>
                <c:pt idx="0">
                  <c:v>1</c:v>
                </c:pt>
                <c:pt idx="1">
                  <c:v>0.97597486601367589</c:v>
                </c:pt>
                <c:pt idx="2">
                  <c:v>0.92519271198318143</c:v>
                </c:pt>
                <c:pt idx="3">
                  <c:v>0.80848132271892215</c:v>
                </c:pt>
                <c:pt idx="4">
                  <c:v>0.74780515434721029</c:v>
                </c:pt>
                <c:pt idx="5">
                  <c:v>0.66814271255060731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A7-4174-ADF1-9C311B5D99F4}"/>
            </c:ext>
          </c:extLst>
        </c:ser>
        <c:ser>
          <c:idx val="7"/>
          <c:order val="7"/>
          <c:tx>
            <c:v>ef-5000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'3-volitelna'!$N$40:$N$45</c:f>
              <c:numCache>
                <c:formatCode>0.00%</c:formatCode>
                <c:ptCount val="6"/>
                <c:pt idx="0">
                  <c:v>1</c:v>
                </c:pt>
                <c:pt idx="1">
                  <c:v>0.97405031355871119</c:v>
                </c:pt>
                <c:pt idx="2">
                  <c:v>0.94364525139664801</c:v>
                </c:pt>
                <c:pt idx="3">
                  <c:v>0.8441404297851075</c:v>
                </c:pt>
                <c:pt idx="4">
                  <c:v>0.7326501843417913</c:v>
                </c:pt>
                <c:pt idx="5">
                  <c:v>0.69084867075664624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AA7-4174-ADF1-9C311B5D9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659663"/>
        <c:axId val="734624143"/>
      </c:lineChart>
      <c:valAx>
        <c:axId val="16714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6496"/>
        <c:crosses val="autoZero"/>
        <c:crossBetween val="between"/>
      </c:valAx>
      <c:catAx>
        <c:axId val="167145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threads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71458672"/>
        <c:crosses val="autoZero"/>
        <c:auto val="1"/>
        <c:lblAlgn val="ctr"/>
        <c:lblOffset val="100"/>
        <c:noMultiLvlLbl val="0"/>
      </c:catAx>
      <c:valAx>
        <c:axId val="7346241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34659663"/>
        <c:crosses val="max"/>
        <c:crossBetween val="between"/>
      </c:valAx>
      <c:catAx>
        <c:axId val="734659663"/>
        <c:scaling>
          <c:orientation val="minMax"/>
        </c:scaling>
        <c:delete val="1"/>
        <c:axPos val="b"/>
        <c:majorTickMark val="out"/>
        <c:minorTickMark val="none"/>
        <c:tickLblPos val="nextTo"/>
        <c:crossAx val="734624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504264</xdr:colOff>
      <xdr:row>1</xdr:row>
      <xdr:rowOff>140822</xdr:rowOff>
    </xdr:from>
    <xdr:to>
      <xdr:col>26</xdr:col>
      <xdr:colOff>134470</xdr:colOff>
      <xdr:row>24</xdr:row>
      <xdr:rowOff>56028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8EBC6FEF-F263-4780-B6BD-1D5CE3747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2</xdr:row>
      <xdr:rowOff>0</xdr:rowOff>
    </xdr:from>
    <xdr:to>
      <xdr:col>38</xdr:col>
      <xdr:colOff>233167</xdr:colOff>
      <xdr:row>24</xdr:row>
      <xdr:rowOff>85213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70F37315-C3F8-4889-9455-081B2C8F2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25</xdr:row>
      <xdr:rowOff>0</xdr:rowOff>
    </xdr:from>
    <xdr:to>
      <xdr:col>26</xdr:col>
      <xdr:colOff>236341</xdr:colOff>
      <xdr:row>47</xdr:row>
      <xdr:rowOff>88388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2CD438C1-14EE-49B0-AD14-A4EDA28F4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25</xdr:row>
      <xdr:rowOff>0</xdr:rowOff>
    </xdr:from>
    <xdr:to>
      <xdr:col>38</xdr:col>
      <xdr:colOff>239517</xdr:colOff>
      <xdr:row>47</xdr:row>
      <xdr:rowOff>85213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74EB51C9-36F1-4378-B4DC-38C3F8B9C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48</xdr:row>
      <xdr:rowOff>0</xdr:rowOff>
    </xdr:from>
    <xdr:to>
      <xdr:col>26</xdr:col>
      <xdr:colOff>239516</xdr:colOff>
      <xdr:row>70</xdr:row>
      <xdr:rowOff>85213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FA8496F2-BBF7-4851-A6AF-11C1EE108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0</xdr:colOff>
      <xdr:row>48</xdr:row>
      <xdr:rowOff>0</xdr:rowOff>
    </xdr:from>
    <xdr:to>
      <xdr:col>38</xdr:col>
      <xdr:colOff>236342</xdr:colOff>
      <xdr:row>70</xdr:row>
      <xdr:rowOff>88388</xdr:rowOff>
    </xdr:to>
    <xdr:graphicFrame macro="">
      <xdr:nvGraphicFramePr>
        <xdr:cNvPr id="10" name="Graf 9">
          <a:extLst>
            <a:ext uri="{FF2B5EF4-FFF2-40B4-BE49-F238E27FC236}">
              <a16:creationId xmlns:a16="http://schemas.microsoft.com/office/drawing/2014/main" id="{630EA8AA-6128-4206-84E8-6236D2BEB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71</xdr:row>
      <xdr:rowOff>0</xdr:rowOff>
    </xdr:from>
    <xdr:to>
      <xdr:col>26</xdr:col>
      <xdr:colOff>239516</xdr:colOff>
      <xdr:row>93</xdr:row>
      <xdr:rowOff>85213</xdr:rowOff>
    </xdr:to>
    <xdr:graphicFrame macro="">
      <xdr:nvGraphicFramePr>
        <xdr:cNvPr id="11" name="Graf 10">
          <a:extLst>
            <a:ext uri="{FF2B5EF4-FFF2-40B4-BE49-F238E27FC236}">
              <a16:creationId xmlns:a16="http://schemas.microsoft.com/office/drawing/2014/main" id="{ACDCB2C8-3784-41B9-9C12-D9F7013D7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0</xdr:colOff>
      <xdr:row>71</xdr:row>
      <xdr:rowOff>0</xdr:rowOff>
    </xdr:from>
    <xdr:to>
      <xdr:col>38</xdr:col>
      <xdr:colOff>236342</xdr:colOff>
      <xdr:row>93</xdr:row>
      <xdr:rowOff>88388</xdr:rowOff>
    </xdr:to>
    <xdr:graphicFrame macro="">
      <xdr:nvGraphicFramePr>
        <xdr:cNvPr id="12" name="Graf 11">
          <a:extLst>
            <a:ext uri="{FF2B5EF4-FFF2-40B4-BE49-F238E27FC236}">
              <a16:creationId xmlns:a16="http://schemas.microsoft.com/office/drawing/2014/main" id="{E8BED091-6D0A-4403-82D5-11EF1D819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B5F5-D0EF-44C4-967E-7D692844FA06}">
  <dimension ref="B2:N51"/>
  <sheetViews>
    <sheetView tabSelected="1" topLeftCell="I60" zoomScale="85" zoomScaleNormal="85" workbookViewId="0">
      <selection activeCell="K48" sqref="K48"/>
    </sheetView>
  </sheetViews>
  <sheetFormatPr defaultRowHeight="14" x14ac:dyDescent="0.3"/>
  <cols>
    <col min="1" max="1" width="8.7265625" style="1"/>
    <col min="2" max="2" width="16.08984375" style="1" customWidth="1"/>
    <col min="3" max="3" width="10.36328125" style="1" customWidth="1"/>
    <col min="4" max="4" width="9.453125" style="1" customWidth="1"/>
    <col min="5" max="5" width="10.81640625" style="1" customWidth="1"/>
    <col min="6" max="6" width="9.26953125" style="1" customWidth="1"/>
    <col min="7" max="7" width="9.54296875" style="1" customWidth="1"/>
    <col min="8" max="8" width="10.08984375" style="1" customWidth="1"/>
    <col min="9" max="9" width="9" style="1" customWidth="1"/>
    <col min="10" max="10" width="10" style="1" customWidth="1"/>
    <col min="11" max="11" width="9.1796875" style="1" customWidth="1"/>
    <col min="12" max="12" width="9.453125" style="1" customWidth="1"/>
    <col min="13" max="13" width="9.26953125" style="1" customWidth="1"/>
    <col min="14" max="14" width="9.453125" style="1" customWidth="1"/>
    <col min="15" max="16384" width="8.7265625" style="1"/>
  </cols>
  <sheetData>
    <row r="2" spans="2:14" ht="14.5" thickBot="1" x14ac:dyDescent="0.35"/>
    <row r="3" spans="2:14" ht="14.5" thickBot="1" x14ac:dyDescent="0.35">
      <c r="B3" s="44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</row>
    <row r="4" spans="2:14" ht="14.5" thickBot="1" x14ac:dyDescent="0.35">
      <c r="B4" s="47" t="s">
        <v>1</v>
      </c>
      <c r="C4" s="50" t="s">
        <v>2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2"/>
    </row>
    <row r="5" spans="2:14" ht="14.5" thickBot="1" x14ac:dyDescent="0.35">
      <c r="B5" s="48"/>
      <c r="C5" s="53">
        <v>500</v>
      </c>
      <c r="D5" s="54"/>
      <c r="E5" s="55"/>
      <c r="F5" s="56">
        <v>1000</v>
      </c>
      <c r="G5" s="57"/>
      <c r="H5" s="58"/>
      <c r="I5" s="53">
        <v>2000</v>
      </c>
      <c r="J5" s="54"/>
      <c r="K5" s="55"/>
      <c r="L5" s="56">
        <v>5000</v>
      </c>
      <c r="M5" s="57"/>
      <c r="N5" s="58"/>
    </row>
    <row r="6" spans="2:14" ht="14.5" thickBot="1" x14ac:dyDescent="0.35">
      <c r="B6" s="49"/>
      <c r="C6" s="2" t="s">
        <v>3</v>
      </c>
      <c r="D6" s="3" t="s">
        <v>4</v>
      </c>
      <c r="E6" s="4" t="s">
        <v>5</v>
      </c>
      <c r="F6" s="2" t="s">
        <v>3</v>
      </c>
      <c r="G6" s="3" t="s">
        <v>4</v>
      </c>
      <c r="H6" s="4" t="s">
        <v>5</v>
      </c>
      <c r="I6" s="2" t="s">
        <v>3</v>
      </c>
      <c r="J6" s="3" t="s">
        <v>4</v>
      </c>
      <c r="K6" s="4" t="s">
        <v>5</v>
      </c>
      <c r="L6" s="2" t="s">
        <v>3</v>
      </c>
      <c r="M6" s="3" t="s">
        <v>4</v>
      </c>
      <c r="N6" s="4" t="s">
        <v>5</v>
      </c>
    </row>
    <row r="7" spans="2:14" x14ac:dyDescent="0.3">
      <c r="B7" s="5" t="s">
        <v>6</v>
      </c>
      <c r="C7" s="6">
        <v>0.121</v>
      </c>
      <c r="D7" s="7">
        <f xml:space="preserve"> C$7/C7</f>
        <v>1</v>
      </c>
      <c r="E7" s="8">
        <f xml:space="preserve"> D7 / 1</f>
        <v>1</v>
      </c>
      <c r="F7" s="6">
        <v>0.24299999999999999</v>
      </c>
      <c r="G7" s="7">
        <f xml:space="preserve"> F$7 / F7</f>
        <v>1</v>
      </c>
      <c r="H7" s="8">
        <v>1</v>
      </c>
      <c r="I7" s="6">
        <v>0.47299999999999998</v>
      </c>
      <c r="J7" s="7">
        <f xml:space="preserve"> I$7 / I7</f>
        <v>1</v>
      </c>
      <c r="K7" s="8">
        <v>1</v>
      </c>
      <c r="L7" s="6">
        <v>1.157</v>
      </c>
      <c r="M7" s="7">
        <f xml:space="preserve"> L$7 / L7</f>
        <v>1</v>
      </c>
      <c r="N7" s="8">
        <v>1</v>
      </c>
    </row>
    <row r="8" spans="2:14" x14ac:dyDescent="0.3">
      <c r="B8" s="9" t="s">
        <v>7</v>
      </c>
      <c r="C8" s="10">
        <v>6.6000000000000003E-2</v>
      </c>
      <c r="D8" s="11">
        <f xml:space="preserve"> C$7/C8</f>
        <v>1.8333333333333333</v>
      </c>
      <c r="E8" s="12">
        <f xml:space="preserve"> D8 / 2</f>
        <v>0.91666666666666663</v>
      </c>
      <c r="F8" s="10">
        <v>0.122</v>
      </c>
      <c r="G8" s="11">
        <f xml:space="preserve"> F$7 / F8</f>
        <v>1.9918032786885247</v>
      </c>
      <c r="H8" s="12">
        <f xml:space="preserve"> G8 / 2</f>
        <v>0.99590163934426235</v>
      </c>
      <c r="I8" s="10">
        <v>0.24099999999999999</v>
      </c>
      <c r="J8" s="11">
        <f xml:space="preserve"> I$7 / I8</f>
        <v>1.9626556016597509</v>
      </c>
      <c r="K8" s="12">
        <f xml:space="preserve"> J8 / 2</f>
        <v>0.98132780082987547</v>
      </c>
      <c r="L8" s="10">
        <v>0.59599999999999997</v>
      </c>
      <c r="M8" s="11">
        <f xml:space="preserve"> L$7 / L8</f>
        <v>1.9412751677852351</v>
      </c>
      <c r="N8" s="12">
        <f xml:space="preserve"> M8 / 2</f>
        <v>0.97063758389261756</v>
      </c>
    </row>
    <row r="9" spans="2:14" x14ac:dyDescent="0.3">
      <c r="B9" s="13" t="s">
        <v>8</v>
      </c>
      <c r="C9" s="14">
        <v>3.3000000000000002E-2</v>
      </c>
      <c r="D9" s="15">
        <f t="shared" ref="D9:D12" si="0" xml:space="preserve"> C$7/C9</f>
        <v>3.6666666666666665</v>
      </c>
      <c r="E9" s="16">
        <f xml:space="preserve"> D9 / 4</f>
        <v>0.91666666666666663</v>
      </c>
      <c r="F9" s="14">
        <v>6.9000000000000006E-2</v>
      </c>
      <c r="G9" s="15">
        <f t="shared" ref="G9:G12" si="1" xml:space="preserve"> F$7 / F9</f>
        <v>3.5217391304347823</v>
      </c>
      <c r="H9" s="16">
        <f xml:space="preserve"> G9 / 4</f>
        <v>0.88043478260869557</v>
      </c>
      <c r="I9" s="14">
        <v>0.14099999999999999</v>
      </c>
      <c r="J9" s="15">
        <f t="shared" ref="J9:J12" si="2" xml:space="preserve"> I$7 / I9</f>
        <v>3.3546099290780145</v>
      </c>
      <c r="K9" s="16">
        <f xml:space="preserve"> J9 / 4</f>
        <v>0.83865248226950362</v>
      </c>
      <c r="L9" s="14">
        <v>0.32200000000000001</v>
      </c>
      <c r="M9" s="15">
        <f t="shared" ref="M9:M12" si="3" xml:space="preserve"> L$7 / L9</f>
        <v>3.5931677018633539</v>
      </c>
      <c r="N9" s="16">
        <f xml:space="preserve"> M9 / 4</f>
        <v>0.89829192546583847</v>
      </c>
    </row>
    <row r="10" spans="2:14" x14ac:dyDescent="0.3">
      <c r="B10" s="9" t="s">
        <v>9</v>
      </c>
      <c r="C10" s="10">
        <v>2.1000000000000001E-2</v>
      </c>
      <c r="D10" s="11">
        <f t="shared" si="0"/>
        <v>5.761904761904761</v>
      </c>
      <c r="E10" s="12">
        <f xml:space="preserve"> D10 / 8</f>
        <v>0.72023809523809512</v>
      </c>
      <c r="F10" s="10">
        <v>0.04</v>
      </c>
      <c r="G10" s="11">
        <f t="shared" si="1"/>
        <v>6.0749999999999993</v>
      </c>
      <c r="H10" s="12">
        <f xml:space="preserve"> G10 / 8</f>
        <v>0.75937499999999991</v>
      </c>
      <c r="I10" s="10">
        <v>7.5999999999999998E-2</v>
      </c>
      <c r="J10" s="11">
        <f t="shared" si="2"/>
        <v>6.2236842105263159</v>
      </c>
      <c r="K10" s="12">
        <f xml:space="preserve"> J10 / 8</f>
        <v>0.77796052631578949</v>
      </c>
      <c r="L10" s="10">
        <v>0.19600000000000001</v>
      </c>
      <c r="M10" s="11">
        <f t="shared" si="3"/>
        <v>5.9030612244897958</v>
      </c>
      <c r="N10" s="12">
        <f xml:space="preserve"> M10 / 8</f>
        <v>0.73788265306122447</v>
      </c>
    </row>
    <row r="11" spans="2:14" x14ac:dyDescent="0.3">
      <c r="B11" s="13" t="s">
        <v>10</v>
      </c>
      <c r="C11" s="14">
        <v>1.6E-2</v>
      </c>
      <c r="D11" s="15">
        <f t="shared" si="0"/>
        <v>7.5625</v>
      </c>
      <c r="E11" s="16">
        <f xml:space="preserve"> D11 / 12</f>
        <v>0.63020833333333337</v>
      </c>
      <c r="F11" s="14">
        <v>3.1E-2</v>
      </c>
      <c r="G11" s="15">
        <f t="shared" si="1"/>
        <v>7.838709677419355</v>
      </c>
      <c r="H11" s="16">
        <f xml:space="preserve"> G11 / 12</f>
        <v>0.65322580645161288</v>
      </c>
      <c r="I11" s="14">
        <v>6.0999999999999999E-2</v>
      </c>
      <c r="J11" s="15">
        <f t="shared" si="2"/>
        <v>7.7540983606557372</v>
      </c>
      <c r="K11" s="16">
        <f xml:space="preserve"> J11 / 12</f>
        <v>0.64617486338797814</v>
      </c>
      <c r="L11" s="14">
        <v>0.151</v>
      </c>
      <c r="M11" s="15">
        <f t="shared" si="3"/>
        <v>7.6622516556291398</v>
      </c>
      <c r="N11" s="16">
        <f xml:space="preserve"> M11 / 12</f>
        <v>0.63852097130242835</v>
      </c>
    </row>
    <row r="12" spans="2:14" ht="14.5" thickBot="1" x14ac:dyDescent="0.35">
      <c r="B12" s="17" t="s">
        <v>11</v>
      </c>
      <c r="C12" s="18">
        <v>1.6E-2</v>
      </c>
      <c r="D12" s="19">
        <f t="shared" si="0"/>
        <v>7.5625</v>
      </c>
      <c r="E12" s="20">
        <f xml:space="preserve"> D12 / 16</f>
        <v>0.47265625</v>
      </c>
      <c r="F12" s="18">
        <v>2.7E-2</v>
      </c>
      <c r="G12" s="19">
        <f t="shared" si="1"/>
        <v>9</v>
      </c>
      <c r="H12" s="20">
        <f xml:space="preserve"> G12 / 16</f>
        <v>0.5625</v>
      </c>
      <c r="I12" s="18">
        <v>5.7000000000000002E-2</v>
      </c>
      <c r="J12" s="19">
        <f t="shared" si="2"/>
        <v>8.2982456140350873</v>
      </c>
      <c r="K12" s="20">
        <f xml:space="preserve"> J12 / 12</f>
        <v>0.69152046783625731</v>
      </c>
      <c r="L12" s="18">
        <v>0.14000000000000001</v>
      </c>
      <c r="M12" s="19">
        <f t="shared" si="3"/>
        <v>8.2642857142857142</v>
      </c>
      <c r="N12" s="20">
        <f xml:space="preserve"> M12 / 16</f>
        <v>0.51651785714285714</v>
      </c>
    </row>
    <row r="13" spans="2:14" ht="14.5" thickBot="1" x14ac:dyDescent="0.35"/>
    <row r="14" spans="2:14" ht="14.5" thickBot="1" x14ac:dyDescent="0.35">
      <c r="B14" s="59" t="s">
        <v>12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1"/>
    </row>
    <row r="15" spans="2:14" ht="14.5" thickBot="1" x14ac:dyDescent="0.35">
      <c r="B15" s="47" t="s">
        <v>1</v>
      </c>
      <c r="C15" s="50" t="s">
        <v>2</v>
      </c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2"/>
    </row>
    <row r="16" spans="2:14" ht="14.5" thickBot="1" x14ac:dyDescent="0.35">
      <c r="B16" s="48"/>
      <c r="C16" s="53">
        <v>500</v>
      </c>
      <c r="D16" s="54"/>
      <c r="E16" s="55"/>
      <c r="F16" s="56">
        <v>1000</v>
      </c>
      <c r="G16" s="57"/>
      <c r="H16" s="58"/>
      <c r="I16" s="53">
        <v>2000</v>
      </c>
      <c r="J16" s="54"/>
      <c r="K16" s="55"/>
      <c r="L16" s="62">
        <v>5000</v>
      </c>
      <c r="M16" s="57"/>
      <c r="N16" s="58"/>
    </row>
    <row r="17" spans="2:14" ht="14.5" thickBot="1" x14ac:dyDescent="0.35">
      <c r="B17" s="49"/>
      <c r="C17" s="2" t="s">
        <v>3</v>
      </c>
      <c r="D17" s="3" t="s">
        <v>4</v>
      </c>
      <c r="E17" s="4" t="s">
        <v>5</v>
      </c>
      <c r="F17" s="2" t="s">
        <v>3</v>
      </c>
      <c r="G17" s="3" t="s">
        <v>4</v>
      </c>
      <c r="H17" s="4" t="s">
        <v>5</v>
      </c>
      <c r="I17" s="2" t="s">
        <v>3</v>
      </c>
      <c r="J17" s="3" t="s">
        <v>4</v>
      </c>
      <c r="K17" s="4" t="s">
        <v>5</v>
      </c>
      <c r="L17" s="21" t="s">
        <v>3</v>
      </c>
      <c r="M17" s="3" t="s">
        <v>4</v>
      </c>
      <c r="N17" s="4" t="s">
        <v>5</v>
      </c>
    </row>
    <row r="18" spans="2:14" x14ac:dyDescent="0.3">
      <c r="B18" s="5" t="s">
        <v>6</v>
      </c>
      <c r="C18" s="6">
        <v>0.67500000000000004</v>
      </c>
      <c r="D18" s="7">
        <f xml:space="preserve"> C$18/C18</f>
        <v>1</v>
      </c>
      <c r="E18" s="8">
        <f xml:space="preserve"> D18 / 1</f>
        <v>1</v>
      </c>
      <c r="F18" s="6">
        <v>1.3620000000000001</v>
      </c>
      <c r="G18" s="7">
        <f xml:space="preserve"> F18 / F18</f>
        <v>1</v>
      </c>
      <c r="H18" s="8">
        <v>1</v>
      </c>
      <c r="I18" s="6">
        <v>2.6680000000000001</v>
      </c>
      <c r="J18" s="7">
        <f xml:space="preserve"> I$18 / I18</f>
        <v>1</v>
      </c>
      <c r="K18" s="8">
        <v>1</v>
      </c>
      <c r="L18" s="22">
        <v>6.7140000000000004</v>
      </c>
      <c r="M18" s="7">
        <f xml:space="preserve"> L$18 / L18</f>
        <v>1</v>
      </c>
      <c r="N18" s="8">
        <v>1</v>
      </c>
    </row>
    <row r="19" spans="2:14" x14ac:dyDescent="0.3">
      <c r="B19" s="9" t="s">
        <v>7</v>
      </c>
      <c r="C19" s="10">
        <v>0.34100000000000003</v>
      </c>
      <c r="D19" s="23">
        <f t="shared" ref="D19:D23" si="4" xml:space="preserve"> C$18/C19</f>
        <v>1.9794721407624634</v>
      </c>
      <c r="E19" s="12">
        <f xml:space="preserve"> D19 / 2</f>
        <v>0.98973607038123168</v>
      </c>
      <c r="F19" s="10">
        <v>0.71399999999999997</v>
      </c>
      <c r="G19" s="11">
        <f xml:space="preserve"> F18 / F19</f>
        <v>1.9075630252100844</v>
      </c>
      <c r="H19" s="12">
        <f xml:space="preserve"> G19 / 2</f>
        <v>0.95378151260504218</v>
      </c>
      <c r="I19" s="10">
        <v>1.3580000000000001</v>
      </c>
      <c r="J19" s="23">
        <f t="shared" ref="J19:J23" si="5" xml:space="preserve"> I$18 / I19</f>
        <v>1.9646539027982326</v>
      </c>
      <c r="K19" s="12">
        <f xml:space="preserve"> J19 / 2</f>
        <v>0.9823269513991163</v>
      </c>
      <c r="L19" s="24">
        <v>3.4990000000000001</v>
      </c>
      <c r="M19" s="23">
        <f t="shared" ref="M19:M23" si="6" xml:space="preserve"> L$18 / L19</f>
        <v>1.9188339525578737</v>
      </c>
      <c r="N19" s="12">
        <f xml:space="preserve"> M19 / 2</f>
        <v>0.95941697627893685</v>
      </c>
    </row>
    <row r="20" spans="2:14" x14ac:dyDescent="0.3">
      <c r="B20" s="13" t="s">
        <v>8</v>
      </c>
      <c r="C20" s="14">
        <v>0.189</v>
      </c>
      <c r="D20" s="25">
        <f t="shared" si="4"/>
        <v>3.5714285714285716</v>
      </c>
      <c r="E20" s="16">
        <f xml:space="preserve"> D20 / 4</f>
        <v>0.8928571428571429</v>
      </c>
      <c r="F20" s="14">
        <v>0.38600000000000001</v>
      </c>
      <c r="G20" s="15">
        <f xml:space="preserve"> F18 / F20</f>
        <v>3.528497409326425</v>
      </c>
      <c r="H20" s="16">
        <f xml:space="preserve"> G20 / 4</f>
        <v>0.88212435233160624</v>
      </c>
      <c r="I20" s="14">
        <v>0.73899999999999999</v>
      </c>
      <c r="J20" s="25">
        <f t="shared" si="5"/>
        <v>3.6102841677943167</v>
      </c>
      <c r="K20" s="16">
        <f xml:space="preserve"> J20 / 4</f>
        <v>0.90257104194857918</v>
      </c>
      <c r="L20" s="26">
        <v>1.9219999999999999</v>
      </c>
      <c r="M20" s="25">
        <f t="shared" si="6"/>
        <v>3.4932362122788767</v>
      </c>
      <c r="N20" s="16">
        <f xml:space="preserve"> M20 / 4</f>
        <v>0.87330905306971918</v>
      </c>
    </row>
    <row r="21" spans="2:14" x14ac:dyDescent="0.3">
      <c r="B21" s="9" t="s">
        <v>9</v>
      </c>
      <c r="C21" s="10">
        <v>0.11600000000000001</v>
      </c>
      <c r="D21" s="23">
        <f t="shared" si="4"/>
        <v>5.818965517241379</v>
      </c>
      <c r="E21" s="12">
        <f xml:space="preserve"> D21 / 8</f>
        <v>0.72737068965517238</v>
      </c>
      <c r="F21" s="10">
        <v>0.222</v>
      </c>
      <c r="G21" s="11">
        <f xml:space="preserve"> F18 / F21</f>
        <v>6.1351351351351351</v>
      </c>
      <c r="H21" s="12">
        <f xml:space="preserve"> G21 / 8</f>
        <v>0.76689189189189189</v>
      </c>
      <c r="I21" s="10">
        <v>0.41099999999999998</v>
      </c>
      <c r="J21" s="23">
        <f t="shared" si="5"/>
        <v>6.4914841849148424</v>
      </c>
      <c r="K21" s="12">
        <f xml:space="preserve"> J21 / 8</f>
        <v>0.81143552311435529</v>
      </c>
      <c r="L21" s="24">
        <v>1.024</v>
      </c>
      <c r="M21" s="23">
        <f t="shared" si="6"/>
        <v>6.556640625</v>
      </c>
      <c r="N21" s="12">
        <f xml:space="preserve"> M21 / 8</f>
        <v>0.819580078125</v>
      </c>
    </row>
    <row r="22" spans="2:14" x14ac:dyDescent="0.3">
      <c r="B22" s="13" t="s">
        <v>10</v>
      </c>
      <c r="C22" s="14">
        <v>8.1000000000000003E-2</v>
      </c>
      <c r="D22" s="25">
        <f t="shared" si="4"/>
        <v>8.3333333333333339</v>
      </c>
      <c r="E22" s="16">
        <f xml:space="preserve"> D22 / 12</f>
        <v>0.69444444444444453</v>
      </c>
      <c r="F22" s="14">
        <v>0.156</v>
      </c>
      <c r="G22" s="15">
        <f xml:space="preserve"> F18 / F22</f>
        <v>8.7307692307692317</v>
      </c>
      <c r="H22" s="16">
        <f xml:space="preserve"> G22 / 12</f>
        <v>0.72756410256410264</v>
      </c>
      <c r="I22" s="14">
        <v>0.309</v>
      </c>
      <c r="J22" s="25">
        <f t="shared" si="5"/>
        <v>8.634304207119742</v>
      </c>
      <c r="K22" s="16">
        <f xml:space="preserve"> J22 / 12</f>
        <v>0.7195253505933118</v>
      </c>
      <c r="L22" s="26">
        <v>0.77300000000000002</v>
      </c>
      <c r="M22" s="25">
        <f t="shared" si="6"/>
        <v>8.6856403622250973</v>
      </c>
      <c r="N22" s="16">
        <f xml:space="preserve"> M22 / 12</f>
        <v>0.72380336351875807</v>
      </c>
    </row>
    <row r="23" spans="2:14" ht="14.5" thickBot="1" x14ac:dyDescent="0.35">
      <c r="B23" s="17" t="s">
        <v>11</v>
      </c>
      <c r="C23" s="18">
        <v>6.5000000000000002E-2</v>
      </c>
      <c r="D23" s="27">
        <f t="shared" si="4"/>
        <v>10.384615384615385</v>
      </c>
      <c r="E23" s="20">
        <f xml:space="preserve"> D23 / 16</f>
        <v>0.64903846153846156</v>
      </c>
      <c r="F23" s="18">
        <v>0.13500000000000001</v>
      </c>
      <c r="G23" s="19">
        <f xml:space="preserve"> F18 / F23</f>
        <v>10.088888888888889</v>
      </c>
      <c r="H23" s="20">
        <f xml:space="preserve"> G23 / 16</f>
        <v>0.63055555555555554</v>
      </c>
      <c r="I23" s="18">
        <v>0.25900000000000001</v>
      </c>
      <c r="J23" s="27">
        <f t="shared" si="5"/>
        <v>10.301158301158301</v>
      </c>
      <c r="K23" s="20">
        <f xml:space="preserve"> J23 / 16</f>
        <v>0.64382239382239381</v>
      </c>
      <c r="L23" s="28">
        <v>0.69599999999999995</v>
      </c>
      <c r="M23" s="27">
        <f t="shared" si="6"/>
        <v>9.6465517241379324</v>
      </c>
      <c r="N23" s="20">
        <f xml:space="preserve"> M23 / 16</f>
        <v>0.60290948275862077</v>
      </c>
    </row>
    <row r="24" spans="2:14" ht="14.5" thickBot="1" x14ac:dyDescent="0.35"/>
    <row r="25" spans="2:14" ht="14.5" thickBot="1" x14ac:dyDescent="0.35">
      <c r="B25" s="63" t="s">
        <v>13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5"/>
    </row>
    <row r="26" spans="2:14" ht="14.5" thickBot="1" x14ac:dyDescent="0.35">
      <c r="B26" s="66" t="s">
        <v>1</v>
      </c>
      <c r="C26" s="50" t="s">
        <v>2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2"/>
    </row>
    <row r="27" spans="2:14" ht="14.5" thickBot="1" x14ac:dyDescent="0.35">
      <c r="B27" s="67"/>
      <c r="C27" s="53">
        <v>500</v>
      </c>
      <c r="D27" s="54"/>
      <c r="E27" s="55"/>
      <c r="F27" s="56">
        <v>1000</v>
      </c>
      <c r="G27" s="57"/>
      <c r="H27" s="58"/>
      <c r="I27" s="53">
        <v>2000</v>
      </c>
      <c r="J27" s="54"/>
      <c r="K27" s="55"/>
      <c r="L27" s="69">
        <v>5000</v>
      </c>
      <c r="M27" s="70"/>
      <c r="N27" s="71"/>
    </row>
    <row r="28" spans="2:14" ht="14.5" thickBot="1" x14ac:dyDescent="0.35">
      <c r="B28" s="68"/>
      <c r="C28" s="2" t="s">
        <v>3</v>
      </c>
      <c r="D28" s="3" t="s">
        <v>4</v>
      </c>
      <c r="E28" s="4" t="s">
        <v>5</v>
      </c>
      <c r="F28" s="2" t="s">
        <v>3</v>
      </c>
      <c r="G28" s="3" t="s">
        <v>4</v>
      </c>
      <c r="H28" s="4" t="s">
        <v>5</v>
      </c>
      <c r="I28" s="2" t="s">
        <v>3</v>
      </c>
      <c r="J28" s="3" t="s">
        <v>4</v>
      </c>
      <c r="K28" s="4" t="s">
        <v>5</v>
      </c>
      <c r="L28" s="2" t="s">
        <v>3</v>
      </c>
      <c r="M28" s="3" t="s">
        <v>4</v>
      </c>
      <c r="N28" s="4" t="s">
        <v>5</v>
      </c>
    </row>
    <row r="29" spans="2:14" x14ac:dyDescent="0.3">
      <c r="B29" s="29" t="s">
        <v>6</v>
      </c>
      <c r="C29" s="22">
        <v>1.2030000000000001</v>
      </c>
      <c r="D29" s="7">
        <f xml:space="preserve"> C$29/C29</f>
        <v>1</v>
      </c>
      <c r="E29" s="8">
        <f xml:space="preserve"> D29 / 1</f>
        <v>1</v>
      </c>
      <c r="F29" s="6">
        <v>2.5310000000000001</v>
      </c>
      <c r="G29" s="7">
        <f xml:space="preserve"> F$29 / F29</f>
        <v>1</v>
      </c>
      <c r="H29" s="8">
        <v>1</v>
      </c>
      <c r="I29" s="6">
        <v>5</v>
      </c>
      <c r="J29" s="7">
        <f xml:space="preserve"> I$29 / I29</f>
        <v>1</v>
      </c>
      <c r="K29" s="8">
        <v>1</v>
      </c>
      <c r="L29" s="6">
        <v>11.776999999999999</v>
      </c>
      <c r="M29" s="7">
        <f xml:space="preserve"> L$29 / L29</f>
        <v>1</v>
      </c>
      <c r="N29" s="8">
        <v>1</v>
      </c>
    </row>
    <row r="30" spans="2:14" x14ac:dyDescent="0.3">
      <c r="B30" s="30" t="s">
        <v>7</v>
      </c>
      <c r="C30" s="24">
        <v>0.72299999999999998</v>
      </c>
      <c r="D30" s="23">
        <f t="shared" ref="D30:D34" si="7" xml:space="preserve"> C$29/C30</f>
        <v>1.6639004149377594</v>
      </c>
      <c r="E30" s="12">
        <f xml:space="preserve"> D30 / 2</f>
        <v>0.83195020746887971</v>
      </c>
      <c r="F30" s="10">
        <v>1.272</v>
      </c>
      <c r="G30" s="23">
        <f t="shared" ref="G30:G34" si="8" xml:space="preserve"> F$29 / F30</f>
        <v>1.9897798742138366</v>
      </c>
      <c r="H30" s="12">
        <f xml:space="preserve"> G30 / 2</f>
        <v>0.99488993710691831</v>
      </c>
      <c r="I30" s="10">
        <v>2.4209999999999998</v>
      </c>
      <c r="J30" s="23">
        <f t="shared" ref="J30:J34" si="9" xml:space="preserve"> I$29 / I30</f>
        <v>2.0652622883106155</v>
      </c>
      <c r="K30" s="12">
        <f xml:space="preserve"> J30 / 2</f>
        <v>1.0326311441553078</v>
      </c>
      <c r="L30" s="10">
        <v>6.1760000000000002</v>
      </c>
      <c r="M30" s="23">
        <f t="shared" ref="M30:M34" si="10" xml:space="preserve"> L$29 / L30</f>
        <v>1.9068976683937822</v>
      </c>
      <c r="N30" s="12">
        <f xml:space="preserve"> M30 / 2</f>
        <v>0.95344883419689108</v>
      </c>
    </row>
    <row r="31" spans="2:14" x14ac:dyDescent="0.3">
      <c r="B31" s="31" t="s">
        <v>8</v>
      </c>
      <c r="C31" s="26">
        <v>0.376</v>
      </c>
      <c r="D31" s="25">
        <f t="shared" si="7"/>
        <v>3.1994680851063833</v>
      </c>
      <c r="E31" s="16">
        <f xml:space="preserve"> D31 / 4</f>
        <v>0.79986702127659581</v>
      </c>
      <c r="F31" s="14">
        <v>0.69799999999999995</v>
      </c>
      <c r="G31" s="25">
        <f t="shared" si="8"/>
        <v>3.6260744985673359</v>
      </c>
      <c r="H31" s="16">
        <f xml:space="preserve"> G31 / 4</f>
        <v>0.90651862464183397</v>
      </c>
      <c r="I31" s="14">
        <v>1.2949999999999999</v>
      </c>
      <c r="J31" s="25">
        <f t="shared" si="9"/>
        <v>3.8610038610038613</v>
      </c>
      <c r="K31" s="16">
        <f xml:space="preserve"> J31 / 4</f>
        <v>0.96525096525096532</v>
      </c>
      <c r="L31" s="14">
        <v>3.2679999999999998</v>
      </c>
      <c r="M31" s="25">
        <f t="shared" si="10"/>
        <v>3.6037331701346389</v>
      </c>
      <c r="N31" s="16">
        <f xml:space="preserve"> M31 / 4</f>
        <v>0.90093329253365972</v>
      </c>
    </row>
    <row r="32" spans="2:14" x14ac:dyDescent="0.3">
      <c r="B32" s="30" t="s">
        <v>9</v>
      </c>
      <c r="C32" s="24">
        <v>0.216</v>
      </c>
      <c r="D32" s="23">
        <f t="shared" si="7"/>
        <v>5.5694444444444446</v>
      </c>
      <c r="E32" s="12">
        <f xml:space="preserve"> D32 / 8</f>
        <v>0.69618055555555558</v>
      </c>
      <c r="F32" s="10">
        <v>0.379</v>
      </c>
      <c r="G32" s="23">
        <f t="shared" si="8"/>
        <v>6.6781002638522429</v>
      </c>
      <c r="H32" s="12">
        <f xml:space="preserve"> G32 / 8</f>
        <v>0.83476253298153036</v>
      </c>
      <c r="I32" s="10">
        <v>0.77500000000000002</v>
      </c>
      <c r="J32" s="23">
        <f t="shared" si="9"/>
        <v>6.4516129032258061</v>
      </c>
      <c r="K32" s="12">
        <f xml:space="preserve"> J32 / 8</f>
        <v>0.80645161290322576</v>
      </c>
      <c r="L32" s="10">
        <v>1.823</v>
      </c>
      <c r="M32" s="23">
        <f t="shared" si="10"/>
        <v>6.4602303894679096</v>
      </c>
      <c r="N32" s="12">
        <f xml:space="preserve"> M32 / 8</f>
        <v>0.8075287986834887</v>
      </c>
    </row>
    <row r="33" spans="2:14" x14ac:dyDescent="0.3">
      <c r="B33" s="31" t="s">
        <v>10</v>
      </c>
      <c r="C33" s="26">
        <v>0.14000000000000001</v>
      </c>
      <c r="D33" s="25">
        <f t="shared" si="7"/>
        <v>8.5928571428571434</v>
      </c>
      <c r="E33" s="16">
        <f xml:space="preserve"> D33 / 12</f>
        <v>0.71607142857142858</v>
      </c>
      <c r="F33" s="14">
        <v>0.27300000000000002</v>
      </c>
      <c r="G33" s="25">
        <f t="shared" si="8"/>
        <v>9.2710622710622701</v>
      </c>
      <c r="H33" s="16">
        <f xml:space="preserve"> G33 / 12</f>
        <v>0.77258852258852251</v>
      </c>
      <c r="I33" s="14">
        <v>0.55600000000000005</v>
      </c>
      <c r="J33" s="25">
        <f t="shared" si="9"/>
        <v>8.9928057553956826</v>
      </c>
      <c r="K33" s="16">
        <f xml:space="preserve"> J33 / 12</f>
        <v>0.74940047961630685</v>
      </c>
      <c r="L33" s="14">
        <v>1.385</v>
      </c>
      <c r="M33" s="25">
        <f t="shared" si="10"/>
        <v>8.5032490974729242</v>
      </c>
      <c r="N33" s="16">
        <f xml:space="preserve"> M33 / 12</f>
        <v>0.70860409145607706</v>
      </c>
    </row>
    <row r="34" spans="2:14" ht="14.5" thickBot="1" x14ac:dyDescent="0.35">
      <c r="B34" s="32" t="s">
        <v>11</v>
      </c>
      <c r="C34" s="28">
        <v>0.127</v>
      </c>
      <c r="D34" s="27">
        <f t="shared" si="7"/>
        <v>9.4724409448818907</v>
      </c>
      <c r="E34" s="20">
        <f xml:space="preserve"> D34 / 16</f>
        <v>0.59202755905511817</v>
      </c>
      <c r="F34" s="18">
        <v>0.24</v>
      </c>
      <c r="G34" s="27">
        <f t="shared" si="8"/>
        <v>10.545833333333334</v>
      </c>
      <c r="H34" s="20">
        <f xml:space="preserve"> G34 / 16</f>
        <v>0.65911458333333339</v>
      </c>
      <c r="I34" s="18">
        <v>0.497</v>
      </c>
      <c r="J34" s="27">
        <f t="shared" si="9"/>
        <v>10.060362173038229</v>
      </c>
      <c r="K34" s="20">
        <f xml:space="preserve"> J34 / 16</f>
        <v>0.62877263581488929</v>
      </c>
      <c r="L34" s="18">
        <v>1.2130000000000001</v>
      </c>
      <c r="M34" s="27">
        <f t="shared" si="10"/>
        <v>9.7089859851607567</v>
      </c>
      <c r="N34" s="20">
        <f xml:space="preserve"> M34 / 16</f>
        <v>0.6068116240725473</v>
      </c>
    </row>
    <row r="35" spans="2:14" ht="14.5" thickBot="1" x14ac:dyDescent="0.35"/>
    <row r="36" spans="2:14" ht="14.5" thickBot="1" x14ac:dyDescent="0.35">
      <c r="B36" s="72" t="s">
        <v>14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4"/>
    </row>
    <row r="37" spans="2:14" ht="14.5" thickBot="1" x14ac:dyDescent="0.35">
      <c r="B37" s="47" t="s">
        <v>1</v>
      </c>
      <c r="C37" s="50" t="s">
        <v>2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2"/>
    </row>
    <row r="38" spans="2:14" ht="14.5" thickBot="1" x14ac:dyDescent="0.35">
      <c r="B38" s="67"/>
      <c r="C38" s="53">
        <v>500</v>
      </c>
      <c r="D38" s="54"/>
      <c r="E38" s="55"/>
      <c r="F38" s="56">
        <v>1000</v>
      </c>
      <c r="G38" s="57"/>
      <c r="H38" s="58"/>
      <c r="I38" s="53">
        <v>2000</v>
      </c>
      <c r="J38" s="54"/>
      <c r="K38" s="55"/>
      <c r="L38" s="56">
        <v>5000</v>
      </c>
      <c r="M38" s="57"/>
      <c r="N38" s="58"/>
    </row>
    <row r="39" spans="2:14" ht="14.5" thickBot="1" x14ac:dyDescent="0.35">
      <c r="B39" s="68"/>
      <c r="C39" s="2" t="s">
        <v>3</v>
      </c>
      <c r="D39" s="3" t="s">
        <v>4</v>
      </c>
      <c r="E39" s="4" t="s">
        <v>5</v>
      </c>
      <c r="F39" s="2" t="s">
        <v>3</v>
      </c>
      <c r="G39" s="3" t="s">
        <v>4</v>
      </c>
      <c r="H39" s="4" t="s">
        <v>5</v>
      </c>
      <c r="I39" s="33" t="s">
        <v>3</v>
      </c>
      <c r="J39" s="3" t="s">
        <v>4</v>
      </c>
      <c r="K39" s="34" t="s">
        <v>5</v>
      </c>
      <c r="L39" s="2" t="s">
        <v>3</v>
      </c>
      <c r="M39" s="3" t="s">
        <v>4</v>
      </c>
      <c r="N39" s="4" t="s">
        <v>5</v>
      </c>
    </row>
    <row r="40" spans="2:14" x14ac:dyDescent="0.3">
      <c r="B40" s="35" t="s">
        <v>6</v>
      </c>
      <c r="C40" s="6">
        <v>2.7160000000000002</v>
      </c>
      <c r="D40" s="7">
        <f xml:space="preserve"> C$40/C40</f>
        <v>1</v>
      </c>
      <c r="E40" s="8">
        <f xml:space="preserve"> D40 / 1</f>
        <v>1</v>
      </c>
      <c r="F40" s="6">
        <v>5.3220000000000001</v>
      </c>
      <c r="G40" s="7">
        <f xml:space="preserve"> F$40 / F40</f>
        <v>1</v>
      </c>
      <c r="H40" s="8">
        <v>1</v>
      </c>
      <c r="I40" s="22">
        <v>10.561999999999999</v>
      </c>
      <c r="J40" s="7">
        <f xml:space="preserve"> I$40 / I40</f>
        <v>1</v>
      </c>
      <c r="K40" s="36">
        <v>1</v>
      </c>
      <c r="L40" s="6">
        <v>27.026</v>
      </c>
      <c r="M40" s="7">
        <f xml:space="preserve"> L$40 / L40</f>
        <v>1</v>
      </c>
      <c r="N40" s="8">
        <v>1</v>
      </c>
    </row>
    <row r="41" spans="2:14" x14ac:dyDescent="0.3">
      <c r="B41" s="30" t="s">
        <v>7</v>
      </c>
      <c r="C41" s="10">
        <v>1.4279999999999999</v>
      </c>
      <c r="D41" s="23">
        <f t="shared" ref="D41:D45" si="11" xml:space="preserve"> C$40/C41</f>
        <v>1.9019607843137256</v>
      </c>
      <c r="E41" s="12">
        <f xml:space="preserve"> D41 / 2</f>
        <v>0.95098039215686281</v>
      </c>
      <c r="F41" s="10">
        <v>2.6890000000000001</v>
      </c>
      <c r="G41" s="23">
        <f t="shared" ref="G41:G45" si="12" xml:space="preserve"> F$40 / F41</f>
        <v>1.9791744142804015</v>
      </c>
      <c r="H41" s="12">
        <f xml:space="preserve"> G41 / 2</f>
        <v>0.98958720714020076</v>
      </c>
      <c r="I41" s="26">
        <v>5.4109999999999996</v>
      </c>
      <c r="J41" s="25">
        <f t="shared" ref="J41:J45" si="13" xml:space="preserve"> I$40 / I41</f>
        <v>1.9519497320273518</v>
      </c>
      <c r="K41" s="37">
        <f xml:space="preserve"> J41 / 2</f>
        <v>0.97597486601367589</v>
      </c>
      <c r="L41" s="10">
        <v>13.872999999999999</v>
      </c>
      <c r="M41" s="23">
        <f t="shared" ref="M41:M45" si="14" xml:space="preserve"> L$40 / L41</f>
        <v>1.9481006271174224</v>
      </c>
      <c r="N41" s="12">
        <f xml:space="preserve"> M41 / 2</f>
        <v>0.97405031355871119</v>
      </c>
    </row>
    <row r="42" spans="2:14" x14ac:dyDescent="0.3">
      <c r="B42" s="31" t="s">
        <v>8</v>
      </c>
      <c r="C42" s="14">
        <v>0.72199999999999998</v>
      </c>
      <c r="D42" s="25">
        <f t="shared" si="11"/>
        <v>3.7617728531855961</v>
      </c>
      <c r="E42" s="16">
        <f xml:space="preserve"> D42 / 4</f>
        <v>0.94044321329639902</v>
      </c>
      <c r="F42" s="14">
        <v>1.48</v>
      </c>
      <c r="G42" s="25">
        <f t="shared" si="12"/>
        <v>3.595945945945946</v>
      </c>
      <c r="H42" s="16">
        <f xml:space="preserve"> G42 / 4</f>
        <v>0.89898648648648649</v>
      </c>
      <c r="I42" s="26">
        <v>2.8540000000000001</v>
      </c>
      <c r="J42" s="25">
        <f t="shared" si="13"/>
        <v>3.7007708479327257</v>
      </c>
      <c r="K42" s="37">
        <f xml:space="preserve"> J42 / 4</f>
        <v>0.92519271198318143</v>
      </c>
      <c r="L42" s="14">
        <v>7.16</v>
      </c>
      <c r="M42" s="25">
        <f t="shared" si="14"/>
        <v>3.774581005586592</v>
      </c>
      <c r="N42" s="16">
        <f xml:space="preserve"> M42 / 4</f>
        <v>0.94364525139664801</v>
      </c>
    </row>
    <row r="43" spans="2:14" x14ac:dyDescent="0.3">
      <c r="B43" s="30" t="s">
        <v>9</v>
      </c>
      <c r="C43" s="10">
        <v>0.42</v>
      </c>
      <c r="D43" s="23">
        <f t="shared" si="11"/>
        <v>6.4666666666666677</v>
      </c>
      <c r="E43" s="12">
        <f xml:space="preserve"> D43 / 8</f>
        <v>0.80833333333333346</v>
      </c>
      <c r="F43" s="10">
        <v>1.073</v>
      </c>
      <c r="G43" s="23">
        <f t="shared" si="12"/>
        <v>4.9599254426840638</v>
      </c>
      <c r="H43" s="12">
        <f xml:space="preserve"> G43 / 8</f>
        <v>0.61999068033550797</v>
      </c>
      <c r="I43" s="26">
        <v>1.633</v>
      </c>
      <c r="J43" s="25">
        <f t="shared" si="13"/>
        <v>6.4678505817513772</v>
      </c>
      <c r="K43" s="37">
        <f xml:space="preserve"> J43 / 8</f>
        <v>0.80848132271892215</v>
      </c>
      <c r="L43" s="10">
        <v>4.0019999999999998</v>
      </c>
      <c r="M43" s="23">
        <f t="shared" si="14"/>
        <v>6.75312343828086</v>
      </c>
      <c r="N43" s="12">
        <f xml:space="preserve"> M43 / 8</f>
        <v>0.8441404297851075</v>
      </c>
    </row>
    <row r="44" spans="2:14" x14ac:dyDescent="0.3">
      <c r="B44" s="31" t="s">
        <v>10</v>
      </c>
      <c r="C44" s="14">
        <v>0.31900000000000001</v>
      </c>
      <c r="D44" s="25">
        <f t="shared" si="11"/>
        <v>8.5141065830721008</v>
      </c>
      <c r="E44" s="16">
        <f xml:space="preserve"> D44 / 12</f>
        <v>0.70950888192267503</v>
      </c>
      <c r="F44" s="14">
        <v>0.68899999999999995</v>
      </c>
      <c r="G44" s="25">
        <f t="shared" si="12"/>
        <v>7.7242380261248194</v>
      </c>
      <c r="H44" s="16">
        <f xml:space="preserve"> G44 / 12</f>
        <v>0.64368650217706824</v>
      </c>
      <c r="I44" s="26">
        <v>1.177</v>
      </c>
      <c r="J44" s="25">
        <f t="shared" si="13"/>
        <v>8.9736618521665239</v>
      </c>
      <c r="K44" s="37">
        <f xml:space="preserve"> J44 / 12</f>
        <v>0.74780515434721029</v>
      </c>
      <c r="L44" s="14">
        <v>3.0739999999999998</v>
      </c>
      <c r="M44" s="25">
        <f t="shared" si="14"/>
        <v>8.791802212101496</v>
      </c>
      <c r="N44" s="16">
        <f xml:space="preserve"> M44 / 12</f>
        <v>0.7326501843417913</v>
      </c>
    </row>
    <row r="45" spans="2:14" ht="14.5" thickBot="1" x14ac:dyDescent="0.35">
      <c r="B45" s="32" t="s">
        <v>11</v>
      </c>
      <c r="C45" s="18">
        <v>0.316</v>
      </c>
      <c r="D45" s="27">
        <f t="shared" si="11"/>
        <v>8.5949367088607609</v>
      </c>
      <c r="E45" s="20">
        <f xml:space="preserve"> D45 / 16</f>
        <v>0.53718354430379756</v>
      </c>
      <c r="F45" s="18">
        <v>0.56499999999999995</v>
      </c>
      <c r="G45" s="27">
        <f t="shared" si="12"/>
        <v>9.4194690265486738</v>
      </c>
      <c r="H45" s="20">
        <f xml:space="preserve"> G45 / 16</f>
        <v>0.58871681415929211</v>
      </c>
      <c r="I45" s="38">
        <v>0.98799999999999999</v>
      </c>
      <c r="J45" s="39">
        <f t="shared" si="13"/>
        <v>10.690283400809717</v>
      </c>
      <c r="K45" s="40">
        <f xml:space="preserve"> J45 / 16</f>
        <v>0.66814271255060731</v>
      </c>
      <c r="L45" s="18">
        <v>2.4449999999999998</v>
      </c>
      <c r="M45" s="27">
        <f t="shared" si="14"/>
        <v>11.05357873210634</v>
      </c>
      <c r="N45" s="20">
        <f xml:space="preserve"> M45 / 16</f>
        <v>0.69084867075664624</v>
      </c>
    </row>
    <row r="46" spans="2:14" ht="14.5" thickBot="1" x14ac:dyDescent="0.35"/>
    <row r="47" spans="2:14" ht="14.5" thickBot="1" x14ac:dyDescent="0.35">
      <c r="B47" s="75" t="s">
        <v>15</v>
      </c>
      <c r="C47" s="76"/>
      <c r="D47" s="76"/>
      <c r="E47" s="76"/>
      <c r="F47" s="76"/>
      <c r="G47" s="76"/>
      <c r="H47" s="77"/>
    </row>
    <row r="48" spans="2:14" x14ac:dyDescent="0.3">
      <c r="B48" s="41" t="s">
        <v>16</v>
      </c>
      <c r="C48" s="78" t="s">
        <v>17</v>
      </c>
      <c r="D48" s="79"/>
      <c r="E48" s="79"/>
      <c r="F48" s="79"/>
      <c r="G48" s="79"/>
      <c r="H48" s="80"/>
    </row>
    <row r="49" spans="2:8" x14ac:dyDescent="0.3">
      <c r="B49" s="42" t="s">
        <v>18</v>
      </c>
      <c r="C49" s="81" t="s">
        <v>19</v>
      </c>
      <c r="D49" s="82"/>
      <c r="E49" s="82"/>
      <c r="F49" s="82"/>
      <c r="G49" s="82"/>
      <c r="H49" s="83"/>
    </row>
    <row r="50" spans="2:8" x14ac:dyDescent="0.3">
      <c r="B50" s="42" t="s">
        <v>20</v>
      </c>
      <c r="C50" s="81" t="s">
        <v>21</v>
      </c>
      <c r="D50" s="82"/>
      <c r="E50" s="82"/>
      <c r="F50" s="82"/>
      <c r="G50" s="82"/>
      <c r="H50" s="83"/>
    </row>
    <row r="51" spans="2:8" ht="14.5" thickBot="1" x14ac:dyDescent="0.35">
      <c r="B51" s="43" t="s">
        <v>22</v>
      </c>
      <c r="C51" s="84" t="s">
        <v>23</v>
      </c>
      <c r="D51" s="85"/>
      <c r="E51" s="85"/>
      <c r="F51" s="85"/>
      <c r="G51" s="85"/>
      <c r="H51" s="86"/>
    </row>
  </sheetData>
  <mergeCells count="33">
    <mergeCell ref="B47:H47"/>
    <mergeCell ref="C48:H48"/>
    <mergeCell ref="C49:H49"/>
    <mergeCell ref="C50:H50"/>
    <mergeCell ref="C51:H51"/>
    <mergeCell ref="B36:N36"/>
    <mergeCell ref="B37:B39"/>
    <mergeCell ref="C37:N37"/>
    <mergeCell ref="C38:E38"/>
    <mergeCell ref="F38:H38"/>
    <mergeCell ref="I38:K38"/>
    <mergeCell ref="L38:N38"/>
    <mergeCell ref="B25:N25"/>
    <mergeCell ref="B26:B28"/>
    <mergeCell ref="C26:N26"/>
    <mergeCell ref="C27:E27"/>
    <mergeCell ref="F27:H27"/>
    <mergeCell ref="I27:K27"/>
    <mergeCell ref="L27:N27"/>
    <mergeCell ref="B14:N14"/>
    <mergeCell ref="B15:B17"/>
    <mergeCell ref="C15:N15"/>
    <mergeCell ref="C16:E16"/>
    <mergeCell ref="F16:H16"/>
    <mergeCell ref="I16:K16"/>
    <mergeCell ref="L16:N16"/>
    <mergeCell ref="B3:N3"/>
    <mergeCell ref="B4:B6"/>
    <mergeCell ref="C4:N4"/>
    <mergeCell ref="C5:E5"/>
    <mergeCell ref="F5:H5"/>
    <mergeCell ref="I5:K5"/>
    <mergeCell ref="L5:N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3-volitelna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Škurla</dc:creator>
  <cp:lastModifiedBy>Kamil Škurla</cp:lastModifiedBy>
  <dcterms:created xsi:type="dcterms:W3CDTF">2026-03-09T21:14:04Z</dcterms:created>
  <dcterms:modified xsi:type="dcterms:W3CDTF">2026-03-16T11:40:40Z</dcterms:modified>
</cp:coreProperties>
</file>